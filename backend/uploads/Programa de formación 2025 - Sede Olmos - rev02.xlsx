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chozo.PAMPABAJA\Documents\DOCUMENTOS PARA TRABAJAR - ACTAS DE SIG\PROGRAMA DE CAPACITACIONES - SIG\"/>
    </mc:Choice>
  </mc:AlternateContent>
  <xr:revisionPtr revIDLastSave="0" documentId="13_ncr:1_{32AA8273-9830-409D-A445-5E5EED25D5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mplate" sheetId="23" r:id="rId1"/>
    <sheet name="Módulos" sheetId="24" r:id="rId2"/>
  </sheets>
  <definedNames>
    <definedName name="_xlnm._FilterDatabase" localSheetId="1" hidden="1">Módulos!$B$2:$B$25</definedName>
    <definedName name="_xlnm._FilterDatabase" localSheetId="0" hidden="1">Template!$A$28:$BM$182</definedName>
    <definedName name="_xlnm.Print_Area" localSheetId="1">Módulos!$B$2:$C$30</definedName>
    <definedName name="_xlnm.Print_Area" localSheetId="0">Template!$A$1:$BM$188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7" i="23" l="1"/>
  <c r="BM170" i="23"/>
  <c r="I169" i="23" s="1"/>
  <c r="BM169" i="23"/>
  <c r="BM172" i="23"/>
  <c r="BM171" i="23"/>
  <c r="BM168" i="23"/>
  <c r="BM167" i="23"/>
  <c r="BM166" i="23"/>
  <c r="BM165" i="23"/>
  <c r="BM164" i="23"/>
  <c r="BM163" i="23"/>
  <c r="BM162" i="23"/>
  <c r="BM161" i="23"/>
  <c r="BM160" i="23"/>
  <c r="BM159" i="23"/>
  <c r="BM158" i="23"/>
  <c r="BM157" i="23"/>
  <c r="BM156" i="23"/>
  <c r="I155" i="23" s="1"/>
  <c r="BM155" i="23"/>
  <c r="BM154" i="23"/>
  <c r="I153" i="23" s="1"/>
  <c r="BM153" i="23"/>
  <c r="BM152" i="23"/>
  <c r="BM151" i="23"/>
  <c r="BM150" i="23"/>
  <c r="BM149" i="23"/>
  <c r="BM148" i="23"/>
  <c r="BM147" i="23"/>
  <c r="BM146" i="23"/>
  <c r="BM145" i="23"/>
  <c r="BM144" i="23"/>
  <c r="I143" i="23" s="1"/>
  <c r="BM143" i="23"/>
  <c r="BM128" i="23"/>
  <c r="I127" i="23" s="1"/>
  <c r="BM127" i="23"/>
  <c r="BM126" i="23"/>
  <c r="BM125" i="23"/>
  <c r="BM124" i="23"/>
  <c r="I123" i="23" s="1"/>
  <c r="BM123" i="23"/>
  <c r="BM120" i="23"/>
  <c r="I119" i="23" s="1"/>
  <c r="BM119" i="23"/>
  <c r="BM118" i="23"/>
  <c r="I117" i="23" s="1"/>
  <c r="BM117" i="23"/>
  <c r="BM76" i="23"/>
  <c r="I75" i="23" s="1"/>
  <c r="BM75" i="23"/>
  <c r="BM74" i="23"/>
  <c r="I73" i="23" s="1"/>
  <c r="BM73" i="23"/>
  <c r="BM72" i="23"/>
  <c r="I71" i="23" s="1"/>
  <c r="BM71" i="23"/>
  <c r="BM70" i="23"/>
  <c r="I69" i="23" s="1"/>
  <c r="BM69" i="23"/>
  <c r="BM68" i="23"/>
  <c r="I67" i="23" s="1"/>
  <c r="BM67" i="23"/>
  <c r="BM66" i="23"/>
  <c r="I65" i="23" s="1"/>
  <c r="BM65" i="23"/>
  <c r="BM64" i="23"/>
  <c r="I63" i="23" s="1"/>
  <c r="BM63" i="23"/>
  <c r="BM62" i="23"/>
  <c r="I61" i="23" s="1"/>
  <c r="BM61" i="23"/>
  <c r="BM60" i="23"/>
  <c r="I59" i="23" s="1"/>
  <c r="BM59" i="23"/>
  <c r="BM58" i="23"/>
  <c r="I57" i="23" s="1"/>
  <c r="BM57" i="23"/>
  <c r="BM56" i="23"/>
  <c r="BM55" i="23"/>
  <c r="BM54" i="23"/>
  <c r="I53" i="23" s="1"/>
  <c r="BM53" i="23"/>
  <c r="BM52" i="23"/>
  <c r="I51" i="23" s="1"/>
  <c r="BM51" i="23"/>
  <c r="BM50" i="23"/>
  <c r="I49" i="23" s="1"/>
  <c r="BM49" i="23"/>
  <c r="BM48" i="23"/>
  <c r="I47" i="23" s="1"/>
  <c r="BM47" i="23"/>
  <c r="BM46" i="23"/>
  <c r="I45" i="23" s="1"/>
  <c r="BM45" i="23"/>
  <c r="BM44" i="23"/>
  <c r="I43" i="23" s="1"/>
  <c r="BM43" i="23"/>
  <c r="BM42" i="23"/>
  <c r="I41" i="23" s="1"/>
  <c r="BM41" i="23"/>
  <c r="BM40" i="23"/>
  <c r="I39" i="23" s="1"/>
  <c r="BM39" i="23"/>
  <c r="BM38" i="23"/>
  <c r="I37" i="23" s="1"/>
  <c r="BM37" i="23"/>
  <c r="BM36" i="23"/>
  <c r="I35" i="23" s="1"/>
  <c r="BM35" i="23"/>
  <c r="BM34" i="23"/>
  <c r="I33" i="23" s="1"/>
  <c r="BM33" i="23"/>
  <c r="BM30" i="23"/>
  <c r="I29" i="23" s="1"/>
  <c r="BM29" i="23"/>
  <c r="I77" i="23"/>
  <c r="I79" i="23"/>
  <c r="I81" i="23"/>
  <c r="I83" i="23"/>
  <c r="I85" i="23"/>
  <c r="I87" i="23"/>
  <c r="I89" i="23"/>
  <c r="I95" i="23"/>
  <c r="I97" i="23"/>
  <c r="I99" i="23"/>
  <c r="I101" i="23"/>
  <c r="I107" i="23"/>
  <c r="I109" i="23"/>
  <c r="I135" i="23"/>
  <c r="I133" i="23"/>
  <c r="I131" i="23"/>
  <c r="BM31" i="23"/>
  <c r="I91" i="23"/>
  <c r="N22" i="23" l="1"/>
  <c r="Q22" i="23"/>
  <c r="I55" i="23"/>
  <c r="I171" i="23" l="1"/>
  <c r="I167" i="23"/>
  <c r="I165" i="23"/>
  <c r="I163" i="23"/>
  <c r="I161" i="23"/>
  <c r="I159" i="23"/>
  <c r="I157" i="23"/>
  <c r="I151" i="23"/>
  <c r="I149" i="23"/>
  <c r="I147" i="23"/>
  <c r="I145" i="23"/>
  <c r="BM122" i="23"/>
  <c r="I121" i="23" s="1"/>
  <c r="BM121" i="23"/>
  <c r="BM114" i="23"/>
  <c r="I113" i="23" s="1"/>
  <c r="BM113" i="23"/>
  <c r="I125" i="23"/>
  <c r="BM112" i="23"/>
  <c r="I111" i="23" s="1"/>
  <c r="BM111" i="23"/>
  <c r="BM106" i="23"/>
  <c r="I105" i="23" s="1"/>
  <c r="BM105" i="23"/>
  <c r="BM142" i="23"/>
  <c r="I141" i="23" s="1"/>
  <c r="BM141" i="23"/>
  <c r="BM130" i="23"/>
  <c r="I129" i="23" s="1"/>
  <c r="BM129" i="23"/>
  <c r="BM116" i="23"/>
  <c r="I115" i="23" s="1"/>
  <c r="BM115" i="23"/>
  <c r="BM178" i="23"/>
  <c r="I177" i="23" s="1"/>
  <c r="BM177" i="23"/>
  <c r="BM176" i="23"/>
  <c r="I175" i="23" s="1"/>
  <c r="BM175" i="23"/>
  <c r="BM104" i="23"/>
  <c r="I103" i="23" s="1"/>
  <c r="BM103" i="23"/>
  <c r="BM94" i="23"/>
  <c r="I93" i="23" s="1"/>
  <c r="BM93" i="23"/>
  <c r="BM174" i="23"/>
  <c r="I173" i="23" s="1"/>
  <c r="BM173" i="23"/>
  <c r="BM32" i="23"/>
  <c r="I31" i="23" s="1"/>
  <c r="BM140" i="23"/>
  <c r="I139" i="23" s="1"/>
  <c r="BM139" i="23"/>
  <c r="BM138" i="23"/>
  <c r="I137" i="23" s="1"/>
  <c r="BM137" i="23"/>
  <c r="BI22" i="23" l="1"/>
  <c r="BF22" i="23"/>
  <c r="BC22" i="23"/>
  <c r="AY22" i="23"/>
  <c r="AV22" i="23"/>
  <c r="AS22" i="23"/>
  <c r="AO22" i="23"/>
  <c r="AL22" i="23"/>
  <c r="AI22" i="23"/>
  <c r="AE22" i="23"/>
  <c r="AB22" i="23"/>
  <c r="Y22" i="23"/>
  <c r="I179" i="23" l="1"/>
  <c r="M27" i="23"/>
  <c r="T22" i="23"/>
  <c r="N27" i="23" l="1"/>
  <c r="O27" i="23" s="1"/>
  <c r="P27" i="23" s="1"/>
  <c r="J143" i="23" s="1"/>
  <c r="Q27" i="23" l="1"/>
  <c r="R27" i="23" l="1"/>
  <c r="S27" i="23" s="1"/>
  <c r="T27" i="23" s="1"/>
  <c r="J79" i="23"/>
  <c r="U27" i="23"/>
  <c r="V27" i="23" l="1"/>
  <c r="W27" i="23" s="1"/>
  <c r="J117" i="23"/>
  <c r="J129" i="23"/>
  <c r="X27" i="23" l="1"/>
  <c r="J119" i="23"/>
  <c r="Y27" i="23" l="1"/>
  <c r="J35" i="23"/>
  <c r="Z27" i="23" l="1"/>
  <c r="AA27" i="23" s="1"/>
  <c r="AB27" i="23" s="1"/>
  <c r="AC27" i="23" s="1"/>
  <c r="AD27" i="23" s="1"/>
  <c r="J121" i="23"/>
  <c r="J49" i="23" l="1"/>
  <c r="J29" i="23"/>
  <c r="J41" i="23"/>
  <c r="J61" i="23"/>
  <c r="J85" i="23"/>
  <c r="J53" i="23"/>
  <c r="AE27" i="23"/>
  <c r="AF27" i="23" s="1"/>
  <c r="J177" i="23" s="1"/>
  <c r="J39" i="23"/>
  <c r="J175" i="23"/>
  <c r="J55" i="23"/>
  <c r="J63" i="23"/>
  <c r="J87" i="23"/>
  <c r="J31" i="23"/>
  <c r="J67" i="23"/>
  <c r="J135" i="23"/>
  <c r="J57" i="23"/>
  <c r="J37" i="23"/>
  <c r="J47" i="23"/>
  <c r="J43" i="23"/>
  <c r="J65" i="23"/>
  <c r="J89" i="23"/>
  <c r="J131" i="23"/>
  <c r="J33" i="23"/>
  <c r="J51" i="23"/>
  <c r="J69" i="23"/>
  <c r="J59" i="23"/>
  <c r="J103" i="23"/>
  <c r="J45" i="23"/>
  <c r="J73" i="23"/>
  <c r="J71" i="23"/>
  <c r="J115" i="23"/>
  <c r="AG27" i="23" l="1"/>
  <c r="AH27" i="23" s="1"/>
  <c r="AI27" i="23" s="1"/>
  <c r="J139" i="23" s="1"/>
  <c r="AJ27" i="23"/>
  <c r="J101" i="23"/>
  <c r="J141" i="23"/>
  <c r="J133" i="23" l="1"/>
  <c r="AK27" i="23"/>
  <c r="J75" i="23"/>
  <c r="J161" i="23"/>
  <c r="J171" i="23"/>
  <c r="J95" i="23" l="1"/>
  <c r="AL27" i="23"/>
  <c r="J165" i="23"/>
  <c r="AM27" i="23" l="1"/>
  <c r="J113" i="23"/>
  <c r="J173" i="23"/>
  <c r="AN27" i="23" l="1"/>
  <c r="J123" i="23"/>
  <c r="J93" i="23"/>
  <c r="J163" i="23"/>
  <c r="AO27" i="23" l="1"/>
  <c r="J159" i="23"/>
  <c r="AP27" i="23" l="1"/>
  <c r="J97" i="23"/>
  <c r="J83" i="23" l="1"/>
  <c r="J81" i="23"/>
  <c r="AQ27" i="23"/>
  <c r="J125" i="23"/>
  <c r="J157" i="23"/>
  <c r="AR27" i="23" l="1"/>
  <c r="J91" i="23"/>
  <c r="AS27" i="23" l="1"/>
  <c r="J153" i="23"/>
  <c r="AT27" i="23" l="1"/>
  <c r="J99" i="23"/>
  <c r="J127" i="23" l="1"/>
  <c r="J149" i="23"/>
  <c r="AU27" i="23"/>
  <c r="J167" i="23"/>
  <c r="AV27" i="23" l="1"/>
  <c r="J105" i="23"/>
  <c r="AW27" i="23" l="1"/>
  <c r="J147" i="23"/>
  <c r="AY27" i="23" l="1"/>
  <c r="J169" i="23" s="1"/>
  <c r="J107" i="23"/>
  <c r="J137" i="23"/>
  <c r="J111" i="23"/>
  <c r="AZ27" i="23" l="1"/>
  <c r="BA27" i="23" s="1"/>
  <c r="J109" i="23"/>
  <c r="J77" i="23"/>
  <c r="J145" i="23"/>
  <c r="BB27" i="23" l="1"/>
  <c r="BC27" i="23" s="1"/>
  <c r="J151" i="23"/>
  <c r="J155" i="23" l="1"/>
  <c r="BD27" i="23"/>
  <c r="BE27" i="23" s="1"/>
  <c r="BF27" i="23" s="1"/>
  <c r="BG27" i="23" s="1"/>
  <c r="BH27" i="23" s="1"/>
  <c r="BI27" i="23" s="1"/>
  <c r="BJ27" i="23" s="1"/>
  <c r="BK27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tc={BC20E353-F14E-46F4-9A9B-BD17DAEB7067}</author>
  </authors>
  <commentList>
    <comment ref="F91" authorId="0" shapeId="0" xr:uid="{BC20E353-F14E-46F4-9A9B-BD17DAEB70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Plan de Vigilancia, Prevención y Control COVID - 19.</t>
      </text>
    </comment>
  </commentList>
</comments>
</file>

<file path=xl/sharedStrings.xml><?xml version="1.0" encoding="utf-8"?>
<sst xmlns="http://schemas.openxmlformats.org/spreadsheetml/2006/main" count="701" uniqueCount="249">
  <si>
    <t>% Avance</t>
  </si>
  <si>
    <t>LEYENDA:</t>
  </si>
  <si>
    <t>Responsable</t>
  </si>
  <si>
    <t>Estado</t>
  </si>
  <si>
    <t>Item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</si>
  <si>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</si>
  <si>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</si>
  <si>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</si>
  <si>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</si>
  <si>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</si>
  <si>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</si>
  <si>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</si>
  <si>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</si>
  <si>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</si>
  <si>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</si>
  <si>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</si>
  <si>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</si>
  <si>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</si>
  <si>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</si>
  <si>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</si>
  <si>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</si>
  <si>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</si>
  <si>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</si>
  <si>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</si>
  <si>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</si>
  <si>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</si>
  <si>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</si>
  <si>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</si>
  <si>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</si>
  <si>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</si>
  <si>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</si>
  <si>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</si>
  <si>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</si>
  <si>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</si>
  <si>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</si>
  <si>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</si>
  <si>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</si>
  <si>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</si>
  <si>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</si>
  <si>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</si>
  <si>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</si>
  <si>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</si>
  <si>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</si>
  <si>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</si>
  <si>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</si>
  <si>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</si>
  <si>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</si>
  <si>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</si>
  <si>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</si>
  <si>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</si>
  <si>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</si>
  <si>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</si>
  <si>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</si>
  <si>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</si>
  <si>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</si>
  <si>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</si>
  <si>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</si>
  <si>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Planificado</t>
  </si>
  <si>
    <t>CÓDIGO:</t>
  </si>
  <si>
    <t>REVISIÓN:</t>
  </si>
  <si>
    <t>FECHA:</t>
  </si>
  <si>
    <t>Ejecutado</t>
  </si>
  <si>
    <t>Tipo</t>
  </si>
  <si>
    <t>Programa de Formación</t>
  </si>
  <si>
    <t>Tema</t>
  </si>
  <si>
    <t>Capacitación</t>
  </si>
  <si>
    <t>Simulacro</t>
  </si>
  <si>
    <t>Inducción</t>
  </si>
  <si>
    <t>Entrenamiento</t>
  </si>
  <si>
    <t>Horas de Formación</t>
  </si>
  <si>
    <t>Personal Proyectado</t>
  </si>
  <si>
    <t>Personal Asistente</t>
  </si>
  <si>
    <t>Formación Programada</t>
  </si>
  <si>
    <t>Formación Ejecutada</t>
  </si>
  <si>
    <t>Datos</t>
  </si>
  <si>
    <t>Estado de Cumplimiento</t>
  </si>
  <si>
    <t>Gobernanza</t>
  </si>
  <si>
    <t>Social</t>
  </si>
  <si>
    <t>Medio Ambiente</t>
  </si>
  <si>
    <t>Interna</t>
  </si>
  <si>
    <t>Módulo XVIII: Funciones y Responsabilidades del Comité de SST</t>
  </si>
  <si>
    <t>Mantenimiento</t>
  </si>
  <si>
    <t>Sanidad</t>
  </si>
  <si>
    <t>Módulo XVII: Procedimiento de Seguridad sobre Manejo de Ganador Vacuno</t>
  </si>
  <si>
    <t>Administrativos</t>
  </si>
  <si>
    <t>Módulos</t>
  </si>
  <si>
    <t>Sistemas</t>
  </si>
  <si>
    <t>Recursos Humanos</t>
  </si>
  <si>
    <t>Riego y Fertilización</t>
  </si>
  <si>
    <t>Externa</t>
  </si>
  <si>
    <t>SSOMA</t>
  </si>
  <si>
    <t>Salud Ocupacional</t>
  </si>
  <si>
    <t>SIG</t>
  </si>
  <si>
    <t>Módulo XX: Trabajos en Espacios Confinados</t>
  </si>
  <si>
    <t>Módulo VII: Comunicación, Evacuación y Rescate</t>
  </si>
  <si>
    <t>Protocolo en caso de intoxicación por exposición a productos fitosanitarios</t>
  </si>
  <si>
    <t>Procedimiento para detección de materia fecal y no manipulación del producto caído</t>
  </si>
  <si>
    <t>Procedimiento de ofidismo</t>
  </si>
  <si>
    <t>Medidas de prevención e intervención en los casos de hostigamiento sexual y violencia de género</t>
  </si>
  <si>
    <t>Procedimiento de evaluación fitosanitaria</t>
  </si>
  <si>
    <t>Procedimiento de aplicación de productos fitosanitarios</t>
  </si>
  <si>
    <t>Seguridad en sistemas informáticos</t>
  </si>
  <si>
    <t>Inducción General SIG</t>
  </si>
  <si>
    <t>Inducción específica</t>
  </si>
  <si>
    <t>RAZÓN SOCIAL O DENOMINACIÓN SOCIAL</t>
  </si>
  <si>
    <t>RUC</t>
  </si>
  <si>
    <t xml:space="preserve">OBJETIVO GENERAL </t>
  </si>
  <si>
    <t xml:space="preserve">OBJETIVO ESPECÍFICO </t>
  </si>
  <si>
    <t>METAS</t>
  </si>
  <si>
    <t>INDICADORES</t>
  </si>
  <si>
    <t>DOMICILIO  (Dirección, Distrito, Departamento, Provincia)</t>
  </si>
  <si>
    <t>AGRICOLA PAMPA BAJA S.A.C.</t>
  </si>
  <si>
    <t>Proporcionar a los trabajadores el conocimiento necesario para desempeñar su trabajo en forma eficiente, cumpliendo con estándares de Seguridad y Salud en el Trabajo y ambiente.</t>
  </si>
  <si>
    <t xml:space="preserve">1. Cumplir con el Programa de Inducción Básica y Específica en el Trabajo a todos los trabajadores nuevos que ingresen a la empresa o transferidos internamente a otras actividades. </t>
  </si>
  <si>
    <t>2. Capacitar al Personal en Temas de Seguridad, Salud ocupacional, Medio Ambiente según riesgos expuestos y funciones a desempeñar.</t>
  </si>
  <si>
    <t>1. Ejecutar el 90% del programa de capacitación.</t>
  </si>
  <si>
    <t>2. Lograr 90% de la población trabajadora con evaluaciones de capacitación.</t>
  </si>
  <si>
    <t>1. Capacitaciones ejecutadas / Capacitaciones programadas.</t>
  </si>
  <si>
    <t>N° DE TRABAJADORES EN EL CENTRO DE LABORES</t>
  </si>
  <si>
    <t>LEYENDA</t>
  </si>
  <si>
    <t>Programado</t>
  </si>
  <si>
    <t>P</t>
  </si>
  <si>
    <t>E</t>
  </si>
  <si>
    <t>FPGC 4.8-1</t>
  </si>
  <si>
    <t>2. Evaluación  de trabajadores capacitados / # de trabajadores capacitados.</t>
  </si>
  <si>
    <t>Elaborado por:</t>
  </si>
  <si>
    <t>Revisado por:</t>
  </si>
  <si>
    <t>Aprobado por:</t>
  </si>
  <si>
    <t>REVISION 05</t>
  </si>
  <si>
    <t>Proyecto de irrigación Olmos - Lote C8, entre los valles de los ríos Cascajal y Olmos</t>
  </si>
  <si>
    <t>Norma GLOBALG.A.P. IFA V6</t>
  </si>
  <si>
    <t>Riego</t>
  </si>
  <si>
    <t>Trabajadores</t>
  </si>
  <si>
    <t>Agrícola, Riego, Sanidad, SIG, Planificación, Almacén, RRHH, Seguridad Patrimonial, Mantenimiento, Logística, Sistemas, Forestal</t>
  </si>
  <si>
    <t>RRHH, SIG, Administrativos</t>
  </si>
  <si>
    <t>Agrícola, SIG, Planificación, Riego, Sanidad, Almacén, Mantenimiento, Administrativos</t>
  </si>
  <si>
    <t>Empleador</t>
  </si>
  <si>
    <t>Agrícola, Planificación, Riego, Sanidad, Almacén, Mantenimiento, Seguridad Patrimonial</t>
  </si>
  <si>
    <t>Subcontratistas</t>
  </si>
  <si>
    <t>Concesionario C&amp;R, SEGURLEV, AMBIPAR, Agrovisión Perú SAC, Complejo Agroindustrial BETA SA, Broom Frio Holding Morrope SA</t>
  </si>
  <si>
    <t>Alianza para la inocuidad de los productos agrícolas frescos (Produce Safety Alliance-PSA)</t>
  </si>
  <si>
    <t>SIG, Administrativos</t>
  </si>
  <si>
    <t>Auditoría de Comercio Ético de los Miembros del SEDEX (SMETA)</t>
  </si>
  <si>
    <t>Código Básico de ETI</t>
  </si>
  <si>
    <t xml:space="preserve">Ley de Modernización de la Inocuidad de los Alimentos (FSMA) </t>
  </si>
  <si>
    <t>Agrícola, Riego, Administrativos</t>
  </si>
  <si>
    <t>Seguridad en la cadena de suministros</t>
  </si>
  <si>
    <t>Seguridad patrimonial, Comex, SIG</t>
  </si>
  <si>
    <t>Política de Sistemas Integrados de Gestión</t>
  </si>
  <si>
    <t>Política de protección de derechos humanos</t>
  </si>
  <si>
    <t>Política de inocuidad alimentaria</t>
  </si>
  <si>
    <t xml:space="preserve">Buenas Prácticas Agrícolas (BPA) </t>
  </si>
  <si>
    <t>Agrícola, SIG, Riego, Sanidad, Administrativos, Mantenimiento, Almacén</t>
  </si>
  <si>
    <t>Mecanismo y/o procedimiento de sugerencias y/o quejas</t>
  </si>
  <si>
    <t xml:space="preserve">Gestión de residuos sólidos </t>
  </si>
  <si>
    <t>Gestión del cambio climático</t>
  </si>
  <si>
    <t>Gestión de la biodiversidad y los ecosistemas</t>
  </si>
  <si>
    <t>SPRING (Programa Sostenible de Riego y Uso de Aguas Subterráneas)</t>
  </si>
  <si>
    <t>Agrícola, Riego, Sanidad, SIG, Planificación, Almacén, Mantenimiento, Forestal</t>
  </si>
  <si>
    <t xml:space="preserve">Gestión sostenible del agua </t>
  </si>
  <si>
    <t xml:space="preserve">Eficiencia energética </t>
  </si>
  <si>
    <t xml:space="preserve">Igualdad de género y empoderamiento de la mujer </t>
  </si>
  <si>
    <t>Módulo XIII: Manipulación segura, almacenamiento y hojas de seguridad de agroquímicos y otros productos químicos</t>
  </si>
  <si>
    <t>Contenido</t>
  </si>
  <si>
    <t xml:space="preserve">Módulo XIII: Manipulación segura, almacenamiento y hojas de seguridad de agroquímicos y otros productos químicos </t>
  </si>
  <si>
    <t>Riego, Sanidad, SIG, Almacén, RRHH, Mantenimiento</t>
  </si>
  <si>
    <t>Inducción laboral de RRHH</t>
  </si>
  <si>
    <r>
      <rPr>
        <b/>
        <sz val="11"/>
        <rFont val="Arial"/>
        <family val="2"/>
      </rPr>
      <t>Inducción General:</t>
    </r>
    <r>
      <rPr>
        <sz val="11"/>
        <rFont val="Arial"/>
        <family val="2"/>
      </rPr>
      <t xml:space="preserve">
Sistema pensionario: Beneficios y condiciones (ONP - AFP).
Horario de trabajo: Asistencia, marcaciones, faltas, permisos y dominical.
Contratación: Tipos y duración de contrato.
Pagos: Condiciones, periodicidad, formas de pago y explicación de boletas de pago.
Beneficios: Vacaciones, liquidación de beneficios sociales.
</t>
    </r>
    <r>
      <rPr>
        <b/>
        <sz val="11"/>
        <rFont val="Arial"/>
        <family val="2"/>
      </rPr>
      <t xml:space="preserve">Bienestar social: </t>
    </r>
    <r>
      <rPr>
        <sz val="11"/>
        <rFont val="Arial"/>
        <family val="2"/>
      </rPr>
      <t xml:space="preserve">
Código de conducta / RIT, Código de conducta.
Política de buenas prácticas de Responsabilidad Social y Laboral.
ESSALUD, Asignación familiar, Subsidios, Descansos médicos.
Seguro Vida Ley.
Procedimiento de reclamos y/o sugerencias.
Política para la prevención e intervención en los casos de hostigamiento sexual y violencia de género.
</t>
    </r>
    <r>
      <rPr>
        <b/>
        <sz val="11"/>
        <rFont val="Arial"/>
        <family val="2"/>
      </rPr>
      <t>Regimen agrario - Boletas de pago - Tareo 
Legislación laboral</t>
    </r>
  </si>
  <si>
    <t>Reglamento Interno de Trabajo</t>
  </si>
  <si>
    <t>Comités</t>
  </si>
  <si>
    <t>CIFHS, EDS, SCSST</t>
  </si>
  <si>
    <t>Política SIG - Misión - Visión.
Política de Derecho a Decir No.
RISST.
Control de Ingreso a Fundo.
Normas de Higiene y Seguridad.
Procedimiento en caso de emergencias / urgencias.</t>
  </si>
  <si>
    <t>Subcomité de Seguridad y Salud en el Trabajo</t>
  </si>
  <si>
    <t>Equipo de Desempeño Social (EDS)</t>
  </si>
  <si>
    <t>Comité de Intervención frente al hostigamiento sexual (CIFHS)</t>
  </si>
  <si>
    <t>-Ley 29783
-Conceptos generales: accidente, incidente, tipos de accidentes, peligros y riesgos</t>
  </si>
  <si>
    <t>Módulo II: Equipos de Protección Personal (EPP) y señales de seguridad</t>
  </si>
  <si>
    <t>-EPP según tipo de actividad
-Señales de seguridad: obligación, prohibición, advertencia, emergencia</t>
  </si>
  <si>
    <t>Módulo III: Identificación de peligros, evaluación de riesgos y controles</t>
  </si>
  <si>
    <t>Módulo V: Ergonomía y salud mental</t>
  </si>
  <si>
    <t>-Uso de herramientas manuales e hidráulicas</t>
  </si>
  <si>
    <t>Módulo VI: Medidas de seguridad en el uso de herramientas manuales</t>
  </si>
  <si>
    <t>Módulo XIX: Protección contra la radiación UV</t>
  </si>
  <si>
    <t>Módulo I: Conceptos básicos de Seguridad y Salud en el Trabajo</t>
  </si>
  <si>
    <t>Módulo IX: Uso de equipos de emergencia</t>
  </si>
  <si>
    <t>Módulo X: Procedimiento en caso de derrames de productos químicos</t>
  </si>
  <si>
    <t>Módulo XI: Manejo defensivo y Reglamento Interno de Tránsito</t>
  </si>
  <si>
    <t>Módulo XII: Medidas de seguridad en el manejo de maquinaria agrícola</t>
  </si>
  <si>
    <t>Módulo XIV: Trabajos en altura</t>
  </si>
  <si>
    <t>-Altura superior a 1.8 m</t>
  </si>
  <si>
    <t>Módulo XV: Trabajos en caliente</t>
  </si>
  <si>
    <t>-Trabajos de soldadura</t>
  </si>
  <si>
    <t>Módulo XVI: Trabajos eléctricos con mediano o alto voltaje</t>
  </si>
  <si>
    <t>Módulo XXI: Trabajos en excavaciones</t>
  </si>
  <si>
    <t>Módulo XXII: Reporte e investigación de accidentes</t>
  </si>
  <si>
    <t>Módulo VIII: Primeros auxilios y procedimiento de comunicación de accidentes</t>
  </si>
  <si>
    <t>Módulo IV: Plan de preparación frente a emergencias y procedimientos de respuesta</t>
  </si>
  <si>
    <t>Agrícola, Riego, Sanidad, Mantenimiento</t>
  </si>
  <si>
    <t>-Mantenimiento de líneas de media y baja tensión</t>
  </si>
  <si>
    <t>-Inspección de unidades vehiculares</t>
  </si>
  <si>
    <t>-Protocolo en caso de intoxicación por exposición a productos fitosanitarios
-Procedimiento de ofidismo</t>
  </si>
  <si>
    <t>Procedimiento para el manejo del programador Dream2</t>
  </si>
  <si>
    <t>Mantenimiento y manejo del sistema de riego por goteo</t>
  </si>
  <si>
    <t>Procedimiento para el proceso de coagulante y floculante</t>
  </si>
  <si>
    <t>Interpretación de análisis fisicoquímicos de suelo y agua</t>
  </si>
  <si>
    <t>Manipulación segura de materiales peligrosos (MATPEL)
Manipulación y almacenamiento seguro de productos fitosanitarios
Procedimiento de manipulación segura de productos fitosanitarios
Manejo seguro de plaguicidas
Manipulación segura de fertilizantes
Matriz de incompatibilidad de fertilizantes</t>
  </si>
  <si>
    <t>Procedimiento de fertirriego</t>
  </si>
  <si>
    <t>Procedimiento de monitoreo de riego en campo</t>
  </si>
  <si>
    <t>Funcionamiento de los componentes del arco de riego</t>
  </si>
  <si>
    <t>Procedimiento de calibración de equipos de aplicación</t>
  </si>
  <si>
    <t>-Identificación de plagas, enfermedades y malezas
-Identificación de enemigos naturales
-Control de mosca de la fruta 
-Reconocimiento de plagas e insecto benéficos del cultivo palto.</t>
  </si>
  <si>
    <t>Plan de Manejo integrado de plagas (MIP)</t>
  </si>
  <si>
    <t>Procedimiento de lavado de equipos de protección y aplicación</t>
  </si>
  <si>
    <t>Procedimiento de triple lavado de envases vacíos</t>
  </si>
  <si>
    <t>Sanidad, Mantenimiento</t>
  </si>
  <si>
    <t>Sanidad, Mantenimiento, Riego</t>
  </si>
  <si>
    <t>Plan de vigilancia de la salud de los trabajadores</t>
  </si>
  <si>
    <t>-Prevención Covid-19</t>
  </si>
  <si>
    <t>Plan de Vigilancia de la Salud de los Trabajadores</t>
  </si>
  <si>
    <t>Agrícola, Sanidad, Riego, Mantenimiento</t>
  </si>
  <si>
    <t>Agrícola</t>
  </si>
  <si>
    <t>Agrícola, Riego, Sanidad, Mantenimiento, Almacén, Seguridad Patrimonial</t>
  </si>
  <si>
    <t>Clasificación</t>
  </si>
  <si>
    <t>Inducción específica de Agrícola</t>
  </si>
  <si>
    <t>Inducción específica de cosecha</t>
  </si>
  <si>
    <t>Inducción específica de poda</t>
  </si>
  <si>
    <t>Inducción específica de riego</t>
  </si>
  <si>
    <t>Inducción específica de sanidad</t>
  </si>
  <si>
    <t>Inducción general SIG</t>
  </si>
  <si>
    <t>Inducción específica de mantenimiento</t>
  </si>
  <si>
    <t>Agrícola, Riego, Sanidad, SIG, Planificación, Almacén, RRHH, Seguridad Patrimonial, Mantenimiento, Logística, Sistemas, Forestal, Brigadistas</t>
  </si>
  <si>
    <t>Inducción específica de polinización</t>
  </si>
  <si>
    <t>Agrícola, Sanidad, Riego, Mantenimiento, SIG</t>
  </si>
  <si>
    <t>QA</t>
  </si>
  <si>
    <t>Esmeralda Delgado / Rosmel Guevara / Giancarlo Bolo / Kely Carmona</t>
  </si>
  <si>
    <t>Julio Pisfil / Anthony Gonzalez</t>
  </si>
  <si>
    <t>Claudio Albarracín</t>
  </si>
  <si>
    <t>CIFHS</t>
  </si>
  <si>
    <t>Capacitación especializada en prevención e intervención ante casos de hostigamiento sexual</t>
  </si>
  <si>
    <t>Evaluación de Riesgos GLOBALG.A.P. en las Prácticas Sociales (GRASP)</t>
  </si>
  <si>
    <t>Estándar Sustainably Grown</t>
  </si>
  <si>
    <t>Stakeholders</t>
  </si>
  <si>
    <t>Procesos</t>
  </si>
  <si>
    <t>Eje</t>
  </si>
  <si>
    <t>Cierre</t>
  </si>
  <si>
    <t>Procedimiento de señalización y periodo de reingreso</t>
  </si>
  <si>
    <t>-Extintores, luces de emergencia, duchas, lavaojos, chaleco salvavidas</t>
  </si>
  <si>
    <t>Módulo V: Ergonomía y manipulación segura de carga</t>
  </si>
  <si>
    <t>- Manual de prevención de amenazas - reporte de incidentes de seguridad patrimonial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</si>
</sst>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dd/mm/yyyy;@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sz val="8"/>
      <color theme="0" tint="-0.14999847407452621"/>
      <name val="Arial"/>
      <family val="2"/>
    </font>
    <font>
      <b/>
      <sz val="14"/>
      <color rgb="FFFFFF0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8"/>
      <color rgb="FFFFFF00"/>
      <name val="Arial"/>
      <family val="2"/>
    </font>
    <font>
      <b/>
      <sz val="11"/>
      <color theme="3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20"/>
      <color theme="1"/>
      <name val="Arial"/>
      <family val="2"/>
    </font>
    <font>
      <b/>
      <sz val="16"/>
      <name val="Arial Narrow"/>
      <family val="2"/>
    </font>
    <font>
      <b/>
      <sz val="36"/>
      <name val="Arial Narrow"/>
      <family val="2"/>
    </font>
    <font>
      <b/>
      <sz val="12"/>
      <name val="Arial Narrow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sz val="8"/>
      <color theme="0"/>
      <name val="Arial"/>
      <family val="2"/>
    </font>
    <font>
      <sz val="10"/>
      <color theme="1"/>
      <name val="Arial"/>
      <family val="2"/>
    </font>
    <font>
      <sz val="12"/>
      <name val="Arial Narrow"/>
      <family val="2"/>
    </font>
    <font>
      <b/>
      <sz val="1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/>
    </xf>
    <xf numFmtId="9" fontId="7" fillId="2" borderId="0" xfId="0" applyNumberFormat="1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wrapText="1"/>
    </xf>
    <xf numFmtId="164" fontId="4" fillId="2" borderId="0" xfId="0" applyNumberFormat="1" applyFont="1" applyFill="1" applyAlignment="1">
      <alignment horizontal="center" vertical="center" wrapText="1"/>
    </xf>
    <xf numFmtId="164" fontId="8" fillId="2" borderId="0" xfId="0" applyNumberFormat="1" applyFont="1" applyFill="1" applyAlignment="1">
      <alignment horizontal="left" vertical="center"/>
    </xf>
    <xf numFmtId="164" fontId="13" fillId="2" borderId="0" xfId="0" applyNumberFormat="1" applyFont="1" applyFill="1" applyAlignment="1">
      <alignment horizontal="left" vertical="center"/>
    </xf>
    <xf numFmtId="164" fontId="8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9" fontId="9" fillId="2" borderId="15" xfId="1" applyFont="1" applyFill="1" applyBorder="1" applyAlignment="1">
      <alignment horizontal="center" vertical="center" wrapText="1"/>
    </xf>
    <xf numFmtId="0" fontId="14" fillId="2" borderId="0" xfId="0" applyFont="1" applyFill="1"/>
    <xf numFmtId="0" fontId="15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9" fontId="9" fillId="2" borderId="16" xfId="1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1" fontId="19" fillId="5" borderId="8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left" vertical="center" wrapText="1"/>
    </xf>
    <xf numFmtId="9" fontId="6" fillId="5" borderId="10" xfId="1" applyFont="1" applyFill="1" applyBorder="1" applyAlignment="1">
      <alignment horizontal="center" vertical="center"/>
    </xf>
    <xf numFmtId="1" fontId="19" fillId="5" borderId="1" xfId="0" applyNumberFormat="1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9" fontId="6" fillId="5" borderId="16" xfId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4" fillId="5" borderId="9" xfId="0" applyFont="1" applyFill="1" applyBorder="1" applyAlignment="1">
      <alignment horizontal="center" vertical="center" wrapText="1"/>
    </xf>
    <xf numFmtId="1" fontId="25" fillId="3" borderId="2" xfId="0" applyNumberFormat="1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1" fontId="25" fillId="4" borderId="2" xfId="0" applyNumberFormat="1" applyFont="1" applyFill="1" applyBorder="1" applyAlignment="1">
      <alignment horizontal="center" vertical="center"/>
    </xf>
    <xf numFmtId="164" fontId="27" fillId="2" borderId="0" xfId="0" applyNumberFormat="1" applyFont="1" applyFill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9" fontId="9" fillId="2" borderId="18" xfId="1" applyFont="1" applyFill="1" applyBorder="1" applyAlignment="1">
      <alignment horizontal="center" vertical="center" wrapText="1"/>
    </xf>
    <xf numFmtId="0" fontId="29" fillId="2" borderId="0" xfId="0" applyFont="1" applyFill="1" applyAlignment="1">
      <alignment vertical="center"/>
    </xf>
    <xf numFmtId="0" fontId="31" fillId="0" borderId="1" xfId="0" applyFont="1" applyBorder="1" applyAlignment="1">
      <alignment horizontal="center" vertical="center" wrapText="1"/>
    </xf>
    <xf numFmtId="14" fontId="31" fillId="0" borderId="1" xfId="0" applyNumberFormat="1" applyFont="1" applyBorder="1" applyAlignment="1">
      <alignment horizontal="center" vertical="center" wrapText="1"/>
    </xf>
    <xf numFmtId="0" fontId="24" fillId="5" borderId="0" xfId="0" applyFont="1" applyFill="1" applyAlignment="1">
      <alignment horizontal="center" vertical="center" wrapText="1"/>
    </xf>
    <xf numFmtId="0" fontId="10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 wrapText="1"/>
    </xf>
    <xf numFmtId="0" fontId="16" fillId="0" borderId="1" xfId="0" quotePrefix="1" applyFont="1" applyBorder="1" applyAlignment="1">
      <alignment horizontal="left" vertical="center" wrapText="1"/>
    </xf>
    <xf numFmtId="0" fontId="0" fillId="0" borderId="0" xfId="0" quotePrefix="1" applyAlignment="1">
      <alignment vertical="center" wrapText="1"/>
    </xf>
    <xf numFmtId="14" fontId="19" fillId="5" borderId="1" xfId="0" applyNumberFormat="1" applyFont="1" applyFill="1" applyBorder="1" applyAlignment="1">
      <alignment horizontal="center" vertical="center" textRotation="90" wrapText="1"/>
    </xf>
    <xf numFmtId="166" fontId="19" fillId="5" borderId="1" xfId="0" applyNumberFormat="1" applyFont="1" applyFill="1" applyBorder="1" applyAlignment="1">
      <alignment horizontal="center" vertical="center" textRotation="90" wrapText="1"/>
    </xf>
    <xf numFmtId="0" fontId="18" fillId="5" borderId="7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33" fillId="7" borderId="1" xfId="0" applyFont="1" applyFill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14" fontId="16" fillId="0" borderId="7" xfId="0" applyNumberFormat="1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1" fontId="16" fillId="0" borderId="7" xfId="0" applyNumberFormat="1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7" fillId="5" borderId="27" xfId="0" applyFont="1" applyFill="1" applyBorder="1" applyAlignment="1">
      <alignment horizontal="center" vertical="center" wrapText="1"/>
    </xf>
    <xf numFmtId="0" fontId="17" fillId="5" borderId="29" xfId="0" applyFont="1" applyFill="1" applyBorder="1" applyAlignment="1">
      <alignment horizontal="center" vertical="center" wrapText="1"/>
    </xf>
    <xf numFmtId="0" fontId="17" fillId="5" borderId="32" xfId="0" applyFont="1" applyFill="1" applyBorder="1" applyAlignment="1">
      <alignment horizontal="center" vertical="center" wrapText="1"/>
    </xf>
    <xf numFmtId="0" fontId="17" fillId="5" borderId="3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17" fillId="5" borderId="27" xfId="0" applyFont="1" applyFill="1" applyBorder="1" applyAlignment="1">
      <alignment horizontal="center" vertical="center"/>
    </xf>
    <xf numFmtId="0" fontId="17" fillId="5" borderId="29" xfId="0" applyFont="1" applyFill="1" applyBorder="1" applyAlignment="1">
      <alignment horizontal="center" vertical="center"/>
    </xf>
    <xf numFmtId="0" fontId="17" fillId="5" borderId="32" xfId="0" applyFont="1" applyFill="1" applyBorder="1" applyAlignment="1">
      <alignment horizontal="center" vertical="center"/>
    </xf>
    <xf numFmtId="0" fontId="17" fillId="5" borderId="3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64" fontId="17" fillId="5" borderId="13" xfId="0" applyNumberFormat="1" applyFont="1" applyFill="1" applyBorder="1" applyAlignment="1">
      <alignment horizontal="left" vertical="center" wrapText="1"/>
    </xf>
    <xf numFmtId="164" fontId="17" fillId="5" borderId="17" xfId="0" applyNumberFormat="1" applyFont="1" applyFill="1" applyBorder="1" applyAlignment="1">
      <alignment horizontal="left" vertical="center" wrapText="1"/>
    </xf>
    <xf numFmtId="164" fontId="17" fillId="5" borderId="24" xfId="0" applyNumberFormat="1" applyFont="1" applyFill="1" applyBorder="1" applyAlignment="1">
      <alignment horizontal="left" vertical="center" wrapText="1"/>
    </xf>
    <xf numFmtId="164" fontId="17" fillId="5" borderId="27" xfId="0" applyNumberFormat="1" applyFont="1" applyFill="1" applyBorder="1" applyAlignment="1">
      <alignment horizontal="left" vertical="center" wrapText="1"/>
    </xf>
    <xf numFmtId="164" fontId="17" fillId="5" borderId="28" xfId="0" applyNumberFormat="1" applyFont="1" applyFill="1" applyBorder="1" applyAlignment="1">
      <alignment horizontal="left" vertical="center" wrapText="1"/>
    </xf>
    <xf numFmtId="164" fontId="17" fillId="5" borderId="29" xfId="0" applyNumberFormat="1" applyFont="1" applyFill="1" applyBorder="1" applyAlignment="1">
      <alignment horizontal="left" vertical="center" wrapText="1"/>
    </xf>
    <xf numFmtId="164" fontId="17" fillId="5" borderId="32" xfId="0" applyNumberFormat="1" applyFont="1" applyFill="1" applyBorder="1" applyAlignment="1">
      <alignment horizontal="left" vertical="center" wrapText="1"/>
    </xf>
    <xf numFmtId="164" fontId="17" fillId="5" borderId="23" xfId="0" applyNumberFormat="1" applyFont="1" applyFill="1" applyBorder="1" applyAlignment="1">
      <alignment horizontal="left" vertical="center" wrapText="1"/>
    </xf>
    <xf numFmtId="164" fontId="17" fillId="5" borderId="33" xfId="0" applyNumberFormat="1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horizontal="left" vertical="center" indent="2"/>
    </xf>
    <xf numFmtId="0" fontId="4" fillId="2" borderId="1" xfId="0" applyFont="1" applyFill="1" applyBorder="1" applyAlignment="1">
      <alignment horizontal="left" vertical="center" indent="2"/>
    </xf>
    <xf numFmtId="0" fontId="2" fillId="2" borderId="1" xfId="0" applyFont="1" applyFill="1" applyBorder="1" applyAlignment="1">
      <alignment horizontal="left" vertical="center" indent="2"/>
    </xf>
    <xf numFmtId="0" fontId="30" fillId="2" borderId="1" xfId="0" applyFont="1" applyFill="1" applyBorder="1" applyAlignment="1">
      <alignment horizontal="left" vertical="center" wrapText="1" indent="2"/>
    </xf>
    <xf numFmtId="0" fontId="28" fillId="2" borderId="13" xfId="0" applyFont="1" applyFill="1" applyBorder="1" applyAlignment="1">
      <alignment horizontal="center" vertical="center"/>
    </xf>
    <xf numFmtId="0" fontId="28" fillId="2" borderId="17" xfId="0" applyFont="1" applyFill="1" applyBorder="1" applyAlignment="1">
      <alignment horizontal="center" vertical="center"/>
    </xf>
    <xf numFmtId="0" fontId="28" fillId="2" borderId="24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1" fontId="5" fillId="6" borderId="7" xfId="0" applyNumberFormat="1" applyFont="1" applyFill="1" applyBorder="1" applyAlignment="1">
      <alignment horizontal="center" vertical="center" wrapText="1"/>
    </xf>
    <xf numFmtId="2" fontId="20" fillId="6" borderId="1" xfId="1" applyNumberFormat="1" applyFont="1" applyFill="1" applyBorder="1" applyAlignment="1">
      <alignment horizontal="center" vertical="center"/>
    </xf>
    <xf numFmtId="1" fontId="34" fillId="0" borderId="7" xfId="0" applyNumberFormat="1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2" fontId="20" fillId="0" borderId="1" xfId="1" applyNumberFormat="1" applyFont="1" applyFill="1" applyBorder="1" applyAlignment="1">
      <alignment horizontal="center" vertical="center"/>
    </xf>
    <xf numFmtId="1" fontId="18" fillId="5" borderId="3" xfId="0" applyNumberFormat="1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165" fontId="20" fillId="6" borderId="1" xfId="1" applyNumberFormat="1" applyFont="1" applyFill="1" applyBorder="1" applyAlignment="1">
      <alignment horizontal="center" vertical="center"/>
    </xf>
    <xf numFmtId="164" fontId="18" fillId="5" borderId="1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 wrapText="1"/>
    </xf>
    <xf numFmtId="0" fontId="19" fillId="5" borderId="24" xfId="0" applyFont="1" applyFill="1" applyBorder="1" applyAlignment="1">
      <alignment horizontal="center" vertical="center" wrapText="1"/>
    </xf>
    <xf numFmtId="1" fontId="5" fillId="8" borderId="7" xfId="0" applyNumberFormat="1" applyFont="1" applyFill="1" applyBorder="1" applyAlignment="1">
      <alignment horizontal="center" vertical="center" wrapText="1"/>
    </xf>
    <xf numFmtId="14" fontId="16" fillId="0" borderId="9" xfId="0" applyNumberFormat="1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313"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8" tint="0.59996337778862885"/>
      </font>
      <fill>
        <patternFill>
          <bgColor theme="8" tint="0.59996337778862885"/>
        </patternFill>
      </fill>
    </dxf>
    <dxf>
      <font>
        <color rgb="FF92D05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 tint="-0.14996795556505021"/>
      </font>
      <fill>
        <patternFill>
          <bgColor rgb="FF92D050"/>
        </patternFill>
      </fill>
    </dxf>
    <dxf>
      <font>
        <color theme="0" tint="-0.14996795556505021"/>
      </font>
      <fill>
        <patternFill>
          <bgColor theme="8" tint="0.59996337778862885"/>
        </patternFill>
      </fill>
    </dxf>
    <dxf>
      <font>
        <color theme="0" tint="-0.14996795556505021"/>
      </font>
      <fill>
        <patternFill>
          <bgColor rgb="FFFFFF00"/>
        </patternFill>
      </fill>
    </dxf>
    <dxf>
      <font>
        <color theme="0" tint="-0.14996795556505021"/>
      </font>
      <fill>
        <patternFill>
          <bgColor rgb="FF92D050"/>
        </patternFill>
      </fill>
    </dxf>
    <dxf>
      <font>
        <color theme="0" tint="-0.14996795556505021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99FF"/>
      <color rgb="FF71AAFF"/>
      <color rgb="FF9FC6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290873</xdr:colOff>
      <xdr:row>0</xdr:row>
      <xdr:rowOff>98998</xdr:rowOff>
    </xdr:from>
    <xdr:to>
      <xdr:col>2</xdr:col>
      <xdr:colOff>1113994</xdr:colOff>
      <xdr:row>2</xdr:row>
      <xdr:rowOff>364435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A8959F-5FD4-4ECA-9C4A-6079AC93C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726" y="98998"/>
          <a:ext cx="1428239" cy="1251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lio Gabriel Pisfil Suclupe" id="{DEA50495-E186-4025-9341-606EDAE1A75B}" userId="260b43faf760261d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91" dT="2023-01-27T13:06:40.96" personId="{DEA50495-E186-4025-9341-606EDAE1A75B}" id="{BC20E353-F14E-46F4-9A9B-BD17DAEB7067}">
    <text>Plan de Vigilancia, Prevención y Control COVID - 19.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A589-E7A8-45B1-AE85-9C50C45C3D62}">
  <sheetPr filterMode="1">
    <pageSetUpPr fitToPage="1"/>
  </sheetPr>
  <dimension ref="A1:BM187"/>
  <sheetViews>
    <sheetView tabSelected="1" view="pageBreakPreview" topLeftCell="B26" zoomScale="80" zoomScaleNormal="40" zoomScaleSheetLayoutView="80" workbookViewId="0">
      <pane xSplit="1" ySplit="3" topLeftCell="C29" activePane="bottomRight" state="frozen"/>
      <selection activeCell="B26" sqref="B26"/>
      <selection pane="topRight" activeCell="C26" sqref="C26"/>
      <selection pane="bottomLeft" activeCell="B29" sqref="B29"/>
      <selection pane="bottomRight" activeCell="F41" sqref="F41:F42"/>
    </sheetView>
  </sheetViews>
  <sheetFormatPr baseColWidth="10" defaultRowHeight="11.25" x14ac:dyDescent="0.2"/>
  <cols>
    <col min="1" max="1" width="1.5703125" style="1" customWidth="1"/>
    <col min="2" max="2" width="9" style="18" customWidth="1"/>
    <col min="3" max="3" width="24.42578125" style="18" customWidth="1"/>
    <col min="4" max="4" width="52" style="18" customWidth="1"/>
    <col min="5" max="5" width="26" style="1" customWidth="1"/>
    <col min="6" max="6" width="88.28515625" style="1" customWidth="1"/>
    <col min="7" max="7" width="15.7109375" style="1" bestFit="1" customWidth="1"/>
    <col min="8" max="8" width="25.5703125" style="1" customWidth="1"/>
    <col min="9" max="9" width="18.7109375" style="2" customWidth="1"/>
    <col min="10" max="10" width="20.42578125" style="1" customWidth="1"/>
    <col min="11" max="11" width="20.140625" style="1" bestFit="1" customWidth="1"/>
    <col min="12" max="12" width="10" style="1" customWidth="1"/>
    <col min="13" max="63" width="6.5703125" style="1" customWidth="1"/>
    <col min="64" max="64" width="1" style="1" customWidth="1"/>
    <col min="65" max="65" width="9.85546875" style="25" customWidth="1"/>
    <col min="66" max="16384" width="11.42578125" style="1"/>
  </cols>
  <sheetData>
    <row r="1" spans="1:65" ht="39" customHeight="1" x14ac:dyDescent="0.2">
      <c r="A1" s="127"/>
      <c r="B1" s="128"/>
      <c r="C1" s="129"/>
      <c r="D1" s="136" t="s">
        <v>63</v>
      </c>
      <c r="E1" s="137"/>
      <c r="F1" s="137"/>
      <c r="G1" s="137"/>
      <c r="H1" s="137"/>
      <c r="I1" s="138"/>
      <c r="J1" s="45" t="s">
        <v>58</v>
      </c>
      <c r="K1" s="54" t="s">
        <v>123</v>
      </c>
    </row>
    <row r="2" spans="1:65" s="4" customFormat="1" ht="39" customHeight="1" x14ac:dyDescent="0.25">
      <c r="A2" s="130"/>
      <c r="B2" s="131"/>
      <c r="C2" s="132"/>
      <c r="D2" s="139"/>
      <c r="E2" s="140"/>
      <c r="F2" s="140"/>
      <c r="G2" s="140"/>
      <c r="H2" s="140"/>
      <c r="I2" s="141"/>
      <c r="J2" s="45" t="s">
        <v>59</v>
      </c>
      <c r="K2" s="54" t="s">
        <v>128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</row>
    <row r="3" spans="1:65" s="4" customFormat="1" ht="39" customHeight="1" x14ac:dyDescent="0.25">
      <c r="A3" s="133"/>
      <c r="B3" s="134"/>
      <c r="C3" s="135"/>
      <c r="D3" s="142"/>
      <c r="E3" s="143"/>
      <c r="F3" s="143"/>
      <c r="G3" s="143"/>
      <c r="H3" s="143"/>
      <c r="I3" s="144"/>
      <c r="J3" s="45" t="s">
        <v>60</v>
      </c>
      <c r="K3" s="55">
        <v>45660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</row>
    <row r="4" spans="1:65" s="4" customFormat="1" ht="43.5" customHeight="1" x14ac:dyDescent="0.25">
      <c r="B4" s="19"/>
      <c r="C4" s="19"/>
      <c r="D4" s="19"/>
      <c r="E4" s="3"/>
      <c r="F4" s="3"/>
      <c r="G4" s="3"/>
      <c r="H4" s="3"/>
      <c r="I4" s="3"/>
      <c r="J4" s="3"/>
      <c r="K4" s="3"/>
      <c r="L4" s="2"/>
      <c r="M4" s="5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3"/>
      <c r="BM4" s="26"/>
    </row>
    <row r="5" spans="1:65" s="4" customFormat="1" ht="19.5" customHeight="1" x14ac:dyDescent="0.25">
      <c r="B5" s="98" t="s">
        <v>104</v>
      </c>
      <c r="C5" s="99"/>
      <c r="D5" s="100"/>
      <c r="E5" s="107" t="s">
        <v>111</v>
      </c>
      <c r="F5" s="107"/>
      <c r="G5" s="107"/>
      <c r="H5" s="108"/>
      <c r="I5" s="3"/>
      <c r="J5" s="85" t="s">
        <v>118</v>
      </c>
      <c r="K5" s="86"/>
      <c r="L5" s="2"/>
      <c r="M5" s="5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3"/>
      <c r="BM5" s="26"/>
    </row>
    <row r="6" spans="1:65" s="4" customFormat="1" ht="19.5" customHeight="1" x14ac:dyDescent="0.25">
      <c r="B6" s="98" t="s">
        <v>105</v>
      </c>
      <c r="C6" s="99"/>
      <c r="D6" s="100"/>
      <c r="E6" s="107">
        <v>20411808972</v>
      </c>
      <c r="F6" s="107"/>
      <c r="G6" s="107"/>
      <c r="H6" s="108"/>
      <c r="I6" s="3"/>
      <c r="J6" s="87"/>
      <c r="K6" s="88"/>
      <c r="L6" s="2"/>
      <c r="M6" s="5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3"/>
      <c r="BM6" s="26"/>
    </row>
    <row r="7" spans="1:65" s="4" customFormat="1" ht="19.5" customHeight="1" x14ac:dyDescent="0.25">
      <c r="B7" s="98" t="s">
        <v>110</v>
      </c>
      <c r="C7" s="99"/>
      <c r="D7" s="100"/>
      <c r="E7" s="107" t="s">
        <v>129</v>
      </c>
      <c r="F7" s="107"/>
      <c r="G7" s="107"/>
      <c r="H7" s="108"/>
      <c r="I7" s="3"/>
      <c r="J7" s="89">
        <v>500</v>
      </c>
      <c r="K7" s="90"/>
      <c r="L7" s="2"/>
      <c r="M7" s="5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3"/>
      <c r="BM7" s="26"/>
    </row>
    <row r="8" spans="1:65" s="4" customFormat="1" ht="19.5" customHeight="1" x14ac:dyDescent="0.25">
      <c r="B8" s="101" t="s">
        <v>106</v>
      </c>
      <c r="C8" s="102"/>
      <c r="D8" s="103"/>
      <c r="E8" s="110" t="s">
        <v>112</v>
      </c>
      <c r="F8" s="110"/>
      <c r="G8" s="110"/>
      <c r="H8" s="107"/>
      <c r="I8" s="3"/>
      <c r="J8" s="91" t="s">
        <v>119</v>
      </c>
      <c r="K8" s="92"/>
      <c r="L8" s="2"/>
      <c r="M8" s="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3"/>
      <c r="BM8" s="26"/>
    </row>
    <row r="9" spans="1:65" s="4" customFormat="1" ht="19.5" customHeight="1" x14ac:dyDescent="0.25">
      <c r="B9" s="104"/>
      <c r="C9" s="105"/>
      <c r="D9" s="106"/>
      <c r="E9" s="110"/>
      <c r="F9" s="110"/>
      <c r="G9" s="110"/>
      <c r="H9" s="107"/>
      <c r="I9" s="3"/>
      <c r="J9" s="93"/>
      <c r="K9" s="94"/>
      <c r="L9" s="2"/>
      <c r="M9" s="5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3"/>
      <c r="BM9" s="26"/>
    </row>
    <row r="10" spans="1:65" s="4" customFormat="1" ht="19.5" customHeight="1" x14ac:dyDescent="0.25">
      <c r="B10" s="101" t="s">
        <v>107</v>
      </c>
      <c r="C10" s="102"/>
      <c r="D10" s="103"/>
      <c r="E10" s="107" t="s">
        <v>113</v>
      </c>
      <c r="F10" s="107"/>
      <c r="G10" s="107"/>
      <c r="H10" s="108"/>
      <c r="I10" s="3"/>
      <c r="J10" s="95" t="s">
        <v>120</v>
      </c>
      <c r="K10" s="95" t="s">
        <v>121</v>
      </c>
      <c r="L10" s="2"/>
      <c r="M10" s="5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3"/>
      <c r="BM10" s="26"/>
    </row>
    <row r="11" spans="1:65" s="4" customFormat="1" ht="19.5" customHeight="1" x14ac:dyDescent="0.25">
      <c r="B11" s="104"/>
      <c r="C11" s="105"/>
      <c r="D11" s="106"/>
      <c r="E11" s="107" t="s">
        <v>114</v>
      </c>
      <c r="F11" s="107"/>
      <c r="G11" s="107"/>
      <c r="H11" s="108"/>
      <c r="I11" s="3"/>
      <c r="J11" s="96"/>
      <c r="K11" s="96"/>
      <c r="L11" s="2"/>
      <c r="M11" s="5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3"/>
      <c r="BM11" s="26"/>
    </row>
    <row r="12" spans="1:65" s="4" customFormat="1" ht="19.5" customHeight="1" x14ac:dyDescent="0.25">
      <c r="B12" s="101" t="s">
        <v>108</v>
      </c>
      <c r="C12" s="102"/>
      <c r="D12" s="103"/>
      <c r="E12" s="107" t="s">
        <v>115</v>
      </c>
      <c r="F12" s="107"/>
      <c r="G12" s="107"/>
      <c r="H12" s="108"/>
      <c r="I12" s="3"/>
      <c r="J12" s="97"/>
      <c r="K12" s="97"/>
      <c r="L12" s="2"/>
      <c r="M12" s="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3"/>
      <c r="BM12" s="26"/>
    </row>
    <row r="13" spans="1:65" s="4" customFormat="1" ht="19.5" customHeight="1" x14ac:dyDescent="0.25">
      <c r="B13" s="104"/>
      <c r="C13" s="105"/>
      <c r="D13" s="106"/>
      <c r="E13" s="107" t="s">
        <v>116</v>
      </c>
      <c r="F13" s="107"/>
      <c r="G13" s="107"/>
      <c r="H13" s="108"/>
      <c r="I13" s="3"/>
      <c r="J13" s="95" t="s">
        <v>61</v>
      </c>
      <c r="K13" s="95" t="s">
        <v>122</v>
      </c>
      <c r="L13" s="2"/>
      <c r="M13" s="5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3"/>
      <c r="BM13" s="26"/>
    </row>
    <row r="14" spans="1:65" s="4" customFormat="1" ht="19.5" customHeight="1" x14ac:dyDescent="0.25">
      <c r="B14" s="101" t="s">
        <v>109</v>
      </c>
      <c r="C14" s="102"/>
      <c r="D14" s="103"/>
      <c r="E14" s="107" t="s">
        <v>117</v>
      </c>
      <c r="F14" s="107"/>
      <c r="G14" s="107"/>
      <c r="H14" s="108"/>
      <c r="I14" s="3"/>
      <c r="J14" s="96"/>
      <c r="K14" s="96"/>
      <c r="L14" s="2"/>
      <c r="M14" s="5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3"/>
      <c r="BM14" s="26"/>
    </row>
    <row r="15" spans="1:65" s="4" customFormat="1" ht="19.5" customHeight="1" x14ac:dyDescent="0.2">
      <c r="B15" s="104"/>
      <c r="C15" s="105"/>
      <c r="D15" s="106"/>
      <c r="E15" s="107" t="s">
        <v>124</v>
      </c>
      <c r="F15" s="107"/>
      <c r="G15" s="107"/>
      <c r="H15" s="109"/>
      <c r="I15" s="2"/>
      <c r="J15" s="97"/>
      <c r="K15" s="97"/>
      <c r="L15" s="2"/>
      <c r="M15" s="5"/>
      <c r="N15" s="6"/>
      <c r="O15" s="6"/>
      <c r="P15" s="6"/>
      <c r="Q15" s="6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R15" s="5"/>
      <c r="AS15" s="5"/>
      <c r="AT15" s="5"/>
      <c r="AU15" s="5"/>
      <c r="AV15" s="5"/>
      <c r="AW15" s="5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M15" s="27"/>
    </row>
    <row r="16" spans="1:65" s="4" customFormat="1" ht="16.5" customHeight="1" x14ac:dyDescent="0.2">
      <c r="B16" s="20"/>
      <c r="C16" s="20"/>
      <c r="D16" s="20"/>
      <c r="I16" s="2"/>
      <c r="L16" s="2"/>
      <c r="M16" s="5"/>
      <c r="N16" s="6"/>
      <c r="O16" s="6"/>
      <c r="P16" s="6"/>
      <c r="Q16" s="6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M16" s="27"/>
    </row>
    <row r="17" spans="2:65" s="4" customFormat="1" ht="16.5" customHeight="1" x14ac:dyDescent="0.2">
      <c r="B17" s="20"/>
      <c r="C17" s="20"/>
      <c r="D17" s="20"/>
      <c r="I17" s="2"/>
      <c r="L17" s="2"/>
      <c r="M17" s="5"/>
      <c r="N17" s="6"/>
      <c r="O17" s="6"/>
      <c r="P17" s="6"/>
      <c r="Q17" s="6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M17" s="27"/>
    </row>
    <row r="18" spans="2:65" s="4" customFormat="1" ht="18" customHeight="1" x14ac:dyDescent="0.2">
      <c r="B18" s="50" t="s">
        <v>1</v>
      </c>
      <c r="C18" s="21"/>
      <c r="D18" s="21"/>
      <c r="I18" s="2"/>
      <c r="L18" s="2"/>
      <c r="M18" s="5"/>
      <c r="N18" s="6"/>
      <c r="O18" s="6"/>
      <c r="P18" s="6"/>
      <c r="Q18" s="6"/>
      <c r="R18" s="5"/>
      <c r="W18" s="33"/>
      <c r="AF18" s="5"/>
      <c r="AG18" s="5"/>
      <c r="AH18" s="5"/>
      <c r="AI18" s="5"/>
      <c r="AO18" s="5"/>
      <c r="AP18" s="5"/>
      <c r="AQ18" s="5"/>
      <c r="AR18" s="5"/>
      <c r="AS18" s="5"/>
      <c r="AT18" s="5"/>
      <c r="AU18" s="5"/>
      <c r="AV18" s="5"/>
      <c r="AW18" s="5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M18" s="27"/>
    </row>
    <row r="19" spans="2:65" s="4" customFormat="1" ht="15" customHeight="1" x14ac:dyDescent="0.2">
      <c r="B19" s="47">
        <v>1</v>
      </c>
      <c r="C19" s="48" t="s">
        <v>57</v>
      </c>
      <c r="D19" s="34"/>
      <c r="I19" s="2"/>
      <c r="L19" s="2"/>
      <c r="M19" s="5"/>
      <c r="N19" s="6"/>
      <c r="O19" s="8"/>
      <c r="AF19" s="5"/>
      <c r="AG19" s="5"/>
      <c r="AH19" s="9"/>
      <c r="AI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M19" s="27"/>
    </row>
    <row r="20" spans="2:65" s="4" customFormat="1" ht="22.5" customHeight="1" x14ac:dyDescent="0.25">
      <c r="B20" s="49">
        <v>2</v>
      </c>
      <c r="C20" s="48" t="s">
        <v>61</v>
      </c>
      <c r="D20" s="34"/>
      <c r="I20" s="2"/>
      <c r="L20" s="2"/>
      <c r="M20" s="5"/>
      <c r="N20" s="123" t="s">
        <v>72</v>
      </c>
      <c r="O20" s="123"/>
      <c r="P20" s="123"/>
      <c r="Q20" s="123" t="s">
        <v>73</v>
      </c>
      <c r="R20" s="123"/>
      <c r="S20" s="123"/>
      <c r="T20" s="123" t="s">
        <v>75</v>
      </c>
      <c r="U20" s="123"/>
      <c r="V20" s="123"/>
      <c r="Y20" s="123" t="s">
        <v>67</v>
      </c>
      <c r="Z20" s="123"/>
      <c r="AA20" s="123"/>
      <c r="AB20" s="123" t="s">
        <v>67</v>
      </c>
      <c r="AC20" s="123"/>
      <c r="AD20" s="123"/>
      <c r="AE20" s="123" t="s">
        <v>67</v>
      </c>
      <c r="AF20" s="123"/>
      <c r="AG20" s="123"/>
      <c r="AH20" s="9"/>
      <c r="AI20" s="123" t="s">
        <v>65</v>
      </c>
      <c r="AJ20" s="123"/>
      <c r="AK20" s="123"/>
      <c r="AL20" s="123" t="s">
        <v>65</v>
      </c>
      <c r="AM20" s="123"/>
      <c r="AN20" s="123"/>
      <c r="AO20" s="123" t="s">
        <v>65</v>
      </c>
      <c r="AP20" s="123"/>
      <c r="AQ20" s="123"/>
      <c r="AR20" s="9"/>
      <c r="AS20" s="123" t="s">
        <v>66</v>
      </c>
      <c r="AT20" s="123"/>
      <c r="AU20" s="123"/>
      <c r="AV20" s="123" t="s">
        <v>66</v>
      </c>
      <c r="AW20" s="123"/>
      <c r="AX20" s="123"/>
      <c r="AY20" s="123" t="s">
        <v>66</v>
      </c>
      <c r="AZ20" s="123"/>
      <c r="BA20" s="123"/>
      <c r="BB20" s="9"/>
      <c r="BC20" s="123" t="s">
        <v>68</v>
      </c>
      <c r="BD20" s="123"/>
      <c r="BE20" s="123"/>
      <c r="BF20" s="123" t="s">
        <v>68</v>
      </c>
      <c r="BG20" s="123"/>
      <c r="BH20" s="123"/>
      <c r="BI20" s="123" t="s">
        <v>68</v>
      </c>
      <c r="BJ20" s="123"/>
      <c r="BK20" s="123"/>
      <c r="BM20" s="27"/>
    </row>
    <row r="21" spans="2:65" s="4" customFormat="1" ht="22.5" customHeight="1" x14ac:dyDescent="0.25">
      <c r="E21" s="53"/>
      <c r="I21" s="2"/>
      <c r="L21" s="2"/>
      <c r="M21" s="5"/>
      <c r="N21" s="123"/>
      <c r="O21" s="123"/>
      <c r="P21" s="123"/>
      <c r="Q21" s="123"/>
      <c r="R21" s="123"/>
      <c r="S21" s="123"/>
      <c r="T21" s="123"/>
      <c r="U21" s="123"/>
      <c r="V21" s="123"/>
      <c r="Y21" s="123" t="s">
        <v>69</v>
      </c>
      <c r="Z21" s="123"/>
      <c r="AA21" s="123"/>
      <c r="AB21" s="123" t="s">
        <v>70</v>
      </c>
      <c r="AC21" s="123"/>
      <c r="AD21" s="123"/>
      <c r="AE21" s="123" t="s">
        <v>71</v>
      </c>
      <c r="AF21" s="123"/>
      <c r="AG21" s="123"/>
      <c r="AH21" s="9"/>
      <c r="AI21" s="123" t="s">
        <v>69</v>
      </c>
      <c r="AJ21" s="123"/>
      <c r="AK21" s="123"/>
      <c r="AL21" s="123" t="s">
        <v>70</v>
      </c>
      <c r="AM21" s="123"/>
      <c r="AN21" s="123"/>
      <c r="AO21" s="123" t="s">
        <v>71</v>
      </c>
      <c r="AP21" s="123"/>
      <c r="AQ21" s="123"/>
      <c r="AR21" s="9"/>
      <c r="AS21" s="123" t="s">
        <v>69</v>
      </c>
      <c r="AT21" s="123"/>
      <c r="AU21" s="123"/>
      <c r="AV21" s="123" t="s">
        <v>70</v>
      </c>
      <c r="AW21" s="123"/>
      <c r="AX21" s="123"/>
      <c r="AY21" s="123" t="s">
        <v>71</v>
      </c>
      <c r="AZ21" s="123"/>
      <c r="BA21" s="123"/>
      <c r="BB21" s="9"/>
      <c r="BC21" s="123" t="s">
        <v>69</v>
      </c>
      <c r="BD21" s="123"/>
      <c r="BE21" s="123"/>
      <c r="BF21" s="123" t="s">
        <v>70</v>
      </c>
      <c r="BG21" s="123"/>
      <c r="BH21" s="123"/>
      <c r="BI21" s="123" t="s">
        <v>71</v>
      </c>
      <c r="BJ21" s="123"/>
      <c r="BK21" s="123"/>
      <c r="BM21" s="27"/>
    </row>
    <row r="22" spans="2:65" s="4" customFormat="1" ht="15" customHeight="1" x14ac:dyDescent="0.25">
      <c r="I22" s="2"/>
      <c r="L22" s="2"/>
      <c r="M22" s="5"/>
      <c r="N22" s="121">
        <f>IFERROR(COUNTIF($L$29:$BK$178,"1"),0)</f>
        <v>338</v>
      </c>
      <c r="O22" s="121"/>
      <c r="P22" s="121"/>
      <c r="Q22" s="121">
        <f>IFERROR(COUNTIF($L$29:$BK$178,"2"),0)</f>
        <v>7</v>
      </c>
      <c r="R22" s="121"/>
      <c r="S22" s="121"/>
      <c r="T22" s="145">
        <f>IFERROR(COUNTIF(L29:BK178,"2")/COUNTIF(L29:BK178,"1"),0)</f>
        <v>2.0710059171597635E-2</v>
      </c>
      <c r="U22" s="145"/>
      <c r="V22" s="145"/>
      <c r="X22" s="9"/>
      <c r="Y22" s="124" t="e">
        <f>SUMIF($G$29:$G$178,Y20,#REF!)</f>
        <v>#REF!</v>
      </c>
      <c r="Z22" s="124"/>
      <c r="AA22" s="124"/>
      <c r="AB22" s="124" t="e">
        <f>SUMIF($G$29:$G$178,AB20,#REF!)</f>
        <v>#REF!</v>
      </c>
      <c r="AC22" s="124"/>
      <c r="AD22" s="124"/>
      <c r="AE22" s="124" t="e">
        <f>SUMIF($G$29:$G$178,AE20,#REF!)</f>
        <v>#REF!</v>
      </c>
      <c r="AF22" s="124"/>
      <c r="AG22" s="124"/>
      <c r="AH22" s="9"/>
      <c r="AI22" s="124" t="e">
        <f>SUMIF($G$29:$G$178,AI20,#REF!)</f>
        <v>#REF!</v>
      </c>
      <c r="AJ22" s="124"/>
      <c r="AK22" s="124"/>
      <c r="AL22" s="124" t="e">
        <f>SUMIF($G$29:$G$178,AL20,#REF!)</f>
        <v>#REF!</v>
      </c>
      <c r="AM22" s="124"/>
      <c r="AN22" s="124"/>
      <c r="AO22" s="124" t="e">
        <f>SUMIF($G$29:$G$178,AO20,#REF!)</f>
        <v>#REF!</v>
      </c>
      <c r="AP22" s="124"/>
      <c r="AQ22" s="124"/>
      <c r="AR22" s="9"/>
      <c r="AS22" s="124" t="e">
        <f>SUMIF($G$29:$G$178,AS20,#REF!)</f>
        <v>#REF!</v>
      </c>
      <c r="AT22" s="124"/>
      <c r="AU22" s="124"/>
      <c r="AV22" s="124" t="e">
        <f>SUMIF($G$29:$G$178,AV20,#REF!)</f>
        <v>#REF!</v>
      </c>
      <c r="AW22" s="124"/>
      <c r="AX22" s="124"/>
      <c r="AY22" s="124" t="e">
        <f>SUMIF($G$29:$G$178,AY20,#REF!)</f>
        <v>#REF!</v>
      </c>
      <c r="AZ22" s="124"/>
      <c r="BA22" s="124"/>
      <c r="BB22" s="9"/>
      <c r="BC22" s="124" t="e">
        <f>SUMIF($G$29:$G$178,BC20,#REF!)</f>
        <v>#REF!</v>
      </c>
      <c r="BD22" s="124"/>
      <c r="BE22" s="124"/>
      <c r="BF22" s="124" t="e">
        <f>SUMIF($G$29:$G$178,BF20,#REF!)</f>
        <v>#REF!</v>
      </c>
      <c r="BG22" s="124"/>
      <c r="BH22" s="124"/>
      <c r="BI22" s="124" t="e">
        <f>SUMIF($G$29:$G$178,BI20,#REF!)</f>
        <v>#REF!</v>
      </c>
      <c r="BJ22" s="124"/>
      <c r="BK22" s="124"/>
      <c r="BM22" s="27"/>
    </row>
    <row r="23" spans="2:65" s="4" customFormat="1" ht="15" customHeight="1" x14ac:dyDescent="0.25">
      <c r="I23" s="2"/>
      <c r="L23" s="5"/>
      <c r="M23" s="5"/>
      <c r="N23" s="121"/>
      <c r="O23" s="121"/>
      <c r="P23" s="121"/>
      <c r="Q23" s="121"/>
      <c r="R23" s="121"/>
      <c r="S23" s="121"/>
      <c r="T23" s="145"/>
      <c r="U23" s="145"/>
      <c r="V23" s="145"/>
      <c r="X23" s="9"/>
      <c r="Y23" s="124"/>
      <c r="Z23" s="124"/>
      <c r="AA23" s="124"/>
      <c r="AB23" s="124"/>
      <c r="AC23" s="124"/>
      <c r="AD23" s="124"/>
      <c r="AE23" s="124"/>
      <c r="AF23" s="124"/>
      <c r="AG23" s="124"/>
      <c r="AH23" s="9"/>
      <c r="AI23" s="124"/>
      <c r="AJ23" s="124"/>
      <c r="AK23" s="124"/>
      <c r="AL23" s="124"/>
      <c r="AM23" s="124"/>
      <c r="AN23" s="124"/>
      <c r="AO23" s="124"/>
      <c r="AP23" s="124"/>
      <c r="AQ23" s="124"/>
      <c r="AR23" s="9"/>
      <c r="AS23" s="124"/>
      <c r="AT23" s="124"/>
      <c r="AU23" s="124"/>
      <c r="AV23" s="124"/>
      <c r="AW23" s="124"/>
      <c r="AX23" s="124"/>
      <c r="AY23" s="124"/>
      <c r="AZ23" s="124"/>
      <c r="BA23" s="124"/>
      <c r="BB23" s="9"/>
      <c r="BC23" s="124"/>
      <c r="BD23" s="124"/>
      <c r="BE23" s="124"/>
      <c r="BF23" s="124"/>
      <c r="BG23" s="124"/>
      <c r="BH23" s="124"/>
      <c r="BI23" s="124"/>
      <c r="BJ23" s="124"/>
      <c r="BK23" s="124"/>
      <c r="BM23" s="27"/>
    </row>
    <row r="24" spans="2:65" s="4" customFormat="1" ht="12.75" customHeight="1" x14ac:dyDescent="0.25">
      <c r="B24" s="22"/>
      <c r="C24" s="22"/>
      <c r="D24" s="22"/>
      <c r="I24" s="11"/>
      <c r="J24" s="10"/>
      <c r="K24" s="10"/>
      <c r="N24" s="121"/>
      <c r="O24" s="121"/>
      <c r="P24" s="121"/>
      <c r="Q24" s="121"/>
      <c r="R24" s="121"/>
      <c r="S24" s="121"/>
      <c r="T24" s="145"/>
      <c r="U24" s="145"/>
      <c r="V24" s="145"/>
      <c r="Y24" s="124"/>
      <c r="Z24" s="124"/>
      <c r="AA24" s="124"/>
      <c r="AB24" s="124"/>
      <c r="AC24" s="124"/>
      <c r="AD24" s="124"/>
      <c r="AE24" s="124"/>
      <c r="AF24" s="124"/>
      <c r="AG24" s="124"/>
      <c r="AI24" s="124"/>
      <c r="AJ24" s="124"/>
      <c r="AK24" s="124"/>
      <c r="AL24" s="124"/>
      <c r="AM24" s="124"/>
      <c r="AN24" s="124"/>
      <c r="AO24" s="124"/>
      <c r="AP24" s="124"/>
      <c r="AQ24" s="124"/>
      <c r="AS24" s="124"/>
      <c r="AT24" s="124"/>
      <c r="AU24" s="124"/>
      <c r="AV24" s="124"/>
      <c r="AW24" s="124"/>
      <c r="AX24" s="124"/>
      <c r="AY24" s="124"/>
      <c r="AZ24" s="124"/>
      <c r="BA24" s="124"/>
      <c r="BC24" s="124"/>
      <c r="BD24" s="124"/>
      <c r="BE24" s="124"/>
      <c r="BF24" s="124"/>
      <c r="BG24" s="124"/>
      <c r="BH24" s="124"/>
      <c r="BI24" s="124"/>
      <c r="BJ24" s="124"/>
      <c r="BK24" s="124"/>
      <c r="BM24" s="27"/>
    </row>
    <row r="25" spans="2:65" s="4" customFormat="1" ht="12.75" customHeight="1" thickBot="1" x14ac:dyDescent="0.3">
      <c r="B25" s="22"/>
      <c r="C25" s="22"/>
      <c r="D25" s="22"/>
      <c r="I25" s="11"/>
      <c r="J25" s="10"/>
      <c r="K25" s="10"/>
      <c r="BM25" s="27"/>
    </row>
    <row r="26" spans="2:65" s="4" customFormat="1" ht="35.25" customHeight="1" x14ac:dyDescent="0.25">
      <c r="B26" s="146" t="s">
        <v>4</v>
      </c>
      <c r="C26" s="146" t="s">
        <v>241</v>
      </c>
      <c r="D26" s="146" t="s">
        <v>242</v>
      </c>
      <c r="E26" s="147" t="s">
        <v>243</v>
      </c>
      <c r="F26" s="147" t="s">
        <v>64</v>
      </c>
      <c r="G26" s="148" t="s">
        <v>222</v>
      </c>
      <c r="H26" s="148" t="s">
        <v>62</v>
      </c>
      <c r="I26" s="148" t="s">
        <v>3</v>
      </c>
      <c r="J26" s="148" t="s">
        <v>244</v>
      </c>
      <c r="K26" s="148" t="s">
        <v>2</v>
      </c>
      <c r="L26" s="151">
        <v>2025</v>
      </c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  <c r="BB26" s="152"/>
      <c r="BC26" s="152"/>
      <c r="BD26" s="152"/>
      <c r="BE26" s="152"/>
      <c r="BF26" s="152"/>
      <c r="BG26" s="152"/>
      <c r="BH26" s="152"/>
      <c r="BI26" s="152"/>
      <c r="BJ26" s="152"/>
      <c r="BK26" s="153"/>
      <c r="BM26" s="125" t="s">
        <v>0</v>
      </c>
    </row>
    <row r="27" spans="2:65" s="4" customFormat="1" ht="75.75" customHeight="1" x14ac:dyDescent="0.25">
      <c r="B27" s="146"/>
      <c r="C27" s="146"/>
      <c r="D27" s="146"/>
      <c r="E27" s="147"/>
      <c r="F27" s="147"/>
      <c r="G27" s="149"/>
      <c r="H27" s="149"/>
      <c r="I27" s="149"/>
      <c r="J27" s="149"/>
      <c r="K27" s="149"/>
      <c r="L27" s="66">
        <v>45656</v>
      </c>
      <c r="M27" s="66">
        <f>+L27+7</f>
        <v>45663</v>
      </c>
      <c r="N27" s="66">
        <f t="shared" ref="N27:BK27" si="0">+M27+7</f>
        <v>45670</v>
      </c>
      <c r="O27" s="66">
        <f t="shared" si="0"/>
        <v>45677</v>
      </c>
      <c r="P27" s="66">
        <f t="shared" si="0"/>
        <v>45684</v>
      </c>
      <c r="Q27" s="66">
        <f t="shared" si="0"/>
        <v>45691</v>
      </c>
      <c r="R27" s="66">
        <f t="shared" si="0"/>
        <v>45698</v>
      </c>
      <c r="S27" s="66">
        <f t="shared" si="0"/>
        <v>45705</v>
      </c>
      <c r="T27" s="66">
        <f t="shared" si="0"/>
        <v>45712</v>
      </c>
      <c r="U27" s="66">
        <f t="shared" si="0"/>
        <v>45719</v>
      </c>
      <c r="V27" s="66">
        <f t="shared" si="0"/>
        <v>45726</v>
      </c>
      <c r="W27" s="66">
        <f t="shared" si="0"/>
        <v>45733</v>
      </c>
      <c r="X27" s="66">
        <f t="shared" si="0"/>
        <v>45740</v>
      </c>
      <c r="Y27" s="67">
        <f>+X27+7</f>
        <v>45747</v>
      </c>
      <c r="Z27" s="67">
        <f>+Y27+7</f>
        <v>45754</v>
      </c>
      <c r="AA27" s="67">
        <f>+Z27+7</f>
        <v>45761</v>
      </c>
      <c r="AB27" s="67">
        <f t="shared" si="0"/>
        <v>45768</v>
      </c>
      <c r="AC27" s="67">
        <f>+AB27+7</f>
        <v>45775</v>
      </c>
      <c r="AD27" s="67">
        <f t="shared" si="0"/>
        <v>45782</v>
      </c>
      <c r="AE27" s="67">
        <f t="shared" si="0"/>
        <v>45789</v>
      </c>
      <c r="AF27" s="67">
        <f t="shared" si="0"/>
        <v>45796</v>
      </c>
      <c r="AG27" s="67">
        <f>+AF27+7</f>
        <v>45803</v>
      </c>
      <c r="AH27" s="67">
        <f t="shared" si="0"/>
        <v>45810</v>
      </c>
      <c r="AI27" s="67">
        <f t="shared" si="0"/>
        <v>45817</v>
      </c>
      <c r="AJ27" s="67">
        <f t="shared" si="0"/>
        <v>45824</v>
      </c>
      <c r="AK27" s="67">
        <f t="shared" si="0"/>
        <v>45831</v>
      </c>
      <c r="AL27" s="67">
        <f t="shared" si="0"/>
        <v>45838</v>
      </c>
      <c r="AM27" s="67">
        <f t="shared" si="0"/>
        <v>45845</v>
      </c>
      <c r="AN27" s="67">
        <f t="shared" si="0"/>
        <v>45852</v>
      </c>
      <c r="AO27" s="67">
        <f t="shared" si="0"/>
        <v>45859</v>
      </c>
      <c r="AP27" s="67">
        <f t="shared" si="0"/>
        <v>45866</v>
      </c>
      <c r="AQ27" s="67">
        <f t="shared" si="0"/>
        <v>45873</v>
      </c>
      <c r="AR27" s="67">
        <f t="shared" si="0"/>
        <v>45880</v>
      </c>
      <c r="AS27" s="67">
        <f t="shared" si="0"/>
        <v>45887</v>
      </c>
      <c r="AT27" s="67">
        <f t="shared" si="0"/>
        <v>45894</v>
      </c>
      <c r="AU27" s="67">
        <f t="shared" si="0"/>
        <v>45901</v>
      </c>
      <c r="AV27" s="67">
        <f t="shared" si="0"/>
        <v>45908</v>
      </c>
      <c r="AW27" s="67">
        <f t="shared" si="0"/>
        <v>45915</v>
      </c>
      <c r="AX27" s="67">
        <f>+AW27+7</f>
        <v>45922</v>
      </c>
      <c r="AY27" s="67">
        <f t="shared" si="0"/>
        <v>45929</v>
      </c>
      <c r="AZ27" s="67">
        <f t="shared" si="0"/>
        <v>45936</v>
      </c>
      <c r="BA27" s="67">
        <f t="shared" si="0"/>
        <v>45943</v>
      </c>
      <c r="BB27" s="67">
        <f t="shared" si="0"/>
        <v>45950</v>
      </c>
      <c r="BC27" s="67">
        <f t="shared" si="0"/>
        <v>45957</v>
      </c>
      <c r="BD27" s="67">
        <f t="shared" si="0"/>
        <v>45964</v>
      </c>
      <c r="BE27" s="67">
        <f t="shared" si="0"/>
        <v>45971</v>
      </c>
      <c r="BF27" s="67">
        <f t="shared" si="0"/>
        <v>45978</v>
      </c>
      <c r="BG27" s="67">
        <f t="shared" si="0"/>
        <v>45985</v>
      </c>
      <c r="BH27" s="67">
        <f t="shared" si="0"/>
        <v>45992</v>
      </c>
      <c r="BI27" s="67">
        <f t="shared" si="0"/>
        <v>45999</v>
      </c>
      <c r="BJ27" s="67">
        <f t="shared" si="0"/>
        <v>46006</v>
      </c>
      <c r="BK27" s="67">
        <f t="shared" si="0"/>
        <v>46013</v>
      </c>
      <c r="BM27" s="126"/>
    </row>
    <row r="28" spans="2:65" s="4" customFormat="1" ht="27.75" customHeight="1" x14ac:dyDescent="0.25">
      <c r="B28" s="146"/>
      <c r="C28" s="146"/>
      <c r="D28" s="146"/>
      <c r="E28" s="147"/>
      <c r="F28" s="148"/>
      <c r="G28" s="150"/>
      <c r="H28" s="150"/>
      <c r="I28" s="150"/>
      <c r="J28" s="150"/>
      <c r="K28" s="150"/>
      <c r="L28" s="35" t="s">
        <v>5</v>
      </c>
      <c r="M28" s="35" t="s">
        <v>6</v>
      </c>
      <c r="N28" s="35" t="s">
        <v>7</v>
      </c>
      <c r="O28" s="35" t="s">
        <v>8</v>
      </c>
      <c r="P28" s="35" t="s">
        <v>9</v>
      </c>
      <c r="Q28" s="35" t="s">
        <v>10</v>
      </c>
      <c r="R28" s="35" t="s">
        <v>11</v>
      </c>
      <c r="S28" s="35" t="s">
        <v>12</v>
      </c>
      <c r="T28" s="35" t="s">
        <v>13</v>
      </c>
      <c r="U28" s="35" t="s">
        <v>14</v>
      </c>
      <c r="V28" s="35" t="s">
        <v>15</v>
      </c>
      <c r="W28" s="35" t="s">
        <v>16</v>
      </c>
      <c r="X28" s="35" t="s">
        <v>17</v>
      </c>
      <c r="Y28" s="35" t="s">
        <v>18</v>
      </c>
      <c r="Z28" s="35" t="s">
        <v>19</v>
      </c>
      <c r="AA28" s="35" t="s">
        <v>20</v>
      </c>
      <c r="AB28" s="35" t="s">
        <v>21</v>
      </c>
      <c r="AC28" s="35" t="s">
        <v>22</v>
      </c>
      <c r="AD28" s="35" t="s">
        <v>23</v>
      </c>
      <c r="AE28" s="35" t="s">
        <v>24</v>
      </c>
      <c r="AF28" s="35" t="s">
        <v>25</v>
      </c>
      <c r="AG28" s="35" t="s">
        <v>26</v>
      </c>
      <c r="AH28" s="35" t="s">
        <v>27</v>
      </c>
      <c r="AI28" s="35" t="s">
        <v>28</v>
      </c>
      <c r="AJ28" s="35" t="s">
        <v>29</v>
      </c>
      <c r="AK28" s="35" t="s">
        <v>30</v>
      </c>
      <c r="AL28" s="35" t="s">
        <v>31</v>
      </c>
      <c r="AM28" s="35" t="s">
        <v>32</v>
      </c>
      <c r="AN28" s="35" t="s">
        <v>33</v>
      </c>
      <c r="AO28" s="35" t="s">
        <v>34</v>
      </c>
      <c r="AP28" s="35" t="s">
        <v>35</v>
      </c>
      <c r="AQ28" s="35" t="s">
        <v>36</v>
      </c>
      <c r="AR28" s="35" t="s">
        <v>37</v>
      </c>
      <c r="AS28" s="35" t="s">
        <v>38</v>
      </c>
      <c r="AT28" s="35" t="s">
        <v>39</v>
      </c>
      <c r="AU28" s="35" t="s">
        <v>40</v>
      </c>
      <c r="AV28" s="35" t="s">
        <v>41</v>
      </c>
      <c r="AW28" s="35" t="s">
        <v>42</v>
      </c>
      <c r="AX28" s="35" t="s">
        <v>43</v>
      </c>
      <c r="AY28" s="35" t="s">
        <v>44</v>
      </c>
      <c r="AZ28" s="35" t="s">
        <v>45</v>
      </c>
      <c r="BA28" s="35" t="s">
        <v>46</v>
      </c>
      <c r="BB28" s="35" t="s">
        <v>47</v>
      </c>
      <c r="BC28" s="35" t="s">
        <v>48</v>
      </c>
      <c r="BD28" s="35" t="s">
        <v>49</v>
      </c>
      <c r="BE28" s="35" t="s">
        <v>50</v>
      </c>
      <c r="BF28" s="35" t="s">
        <v>51</v>
      </c>
      <c r="BG28" s="35" t="s">
        <v>52</v>
      </c>
      <c r="BH28" s="35" t="s">
        <v>53</v>
      </c>
      <c r="BI28" s="35" t="s">
        <v>54</v>
      </c>
      <c r="BJ28" s="35" t="s">
        <v>55</v>
      </c>
      <c r="BK28" s="41" t="s">
        <v>56</v>
      </c>
      <c r="BM28" s="126"/>
    </row>
    <row r="29" spans="2:65" s="4" customFormat="1" ht="24" customHeight="1" x14ac:dyDescent="0.25">
      <c r="B29" s="74">
        <v>1</v>
      </c>
      <c r="C29" s="78" t="s">
        <v>132</v>
      </c>
      <c r="D29" s="78" t="s">
        <v>133</v>
      </c>
      <c r="E29" s="78" t="s">
        <v>76</v>
      </c>
      <c r="F29" s="78" t="s">
        <v>183</v>
      </c>
      <c r="G29" s="83" t="s">
        <v>67</v>
      </c>
      <c r="H29" s="83" t="s">
        <v>79</v>
      </c>
      <c r="I29" s="76" t="str">
        <f t="shared" ref="I29:I49" si="1">+IF(BM30=100%,"Terminado",IF(BM30=0%,"Por Ejecutar",IF(BM30="","","En Proceso")))</f>
        <v>Por Ejecutar</v>
      </c>
      <c r="J29" s="72">
        <f>IF(L29&gt;0,$L$27,IF(M29&gt;0,$M$27,IF(N29&gt;0,$N$27,IF(O29&gt;0,$O$27,IF(P29&gt;0,$P$27,IF(Q29&gt;0,$Q$27,IF(R29&gt;0,$R$27,IF(S29&gt;0,$S$27,IF(T29&gt;0,$T$27,IF(U29&gt;0,$U$27,IF(V29&gt;0,$V$27,IF(W29&gt;0,$W$27,IF(X29&gt;0,$X$27,IF(Y29&gt;0,$Y$27,IF(Z29&gt;0,$Z$27,IF(AA29&gt;0,$AA$27,IF(AB29&gt;0,$AB$27,IF(AC29&gt;0,$AC$27,IF(AD29&gt;0,$AD$27,IF(AE29&gt;0,$AE$27,IF(AF29&gt;0,$AF$27,IF(AG29&gt;0,$AG$27,IF(AH29&gt;0,$AH$27,IF(AI29&gt;0,$AI$27,IF(AJ29&gt;0,$AJ$27,IF(AK29&gt;0,$AK$27,IF(AL29&gt;0,$AL$27,IF(AM29&gt;0,$AM$27,IF(AN29&gt;0,$AN$27,IF(AO29&gt;0,$AO$27,IF(AP29&gt;0,$AP$27,IF(AQ29&gt;0,$AQ$27,IF(AR29&gt;0,$AR$27,IF(AS29&gt;0,$AS$27,IF(AT29&gt;0,$AT$27,IF(AU29&gt;0,$AU$27,IF(AV29&gt;0,$AV$27,IF(AW29&gt;0,$AW$27,IF(AX29&gt;0,$AX$27,IF(AY29&gt;0,$AY$27,IF(AZ29&gt;0,$AZ$27,IF(BA29&gt;0,$BA$27,IF(BB29&gt;0,$BB$27,IF(BC29&gt;0,$BC$27,IF(BD29&gt;0,$BD$27,IF(BE29&gt;0,$BE$27,IF(BF29&gt;0,$BF$27,IF(BG29&gt;0,$BG$27,IF(BH29&gt;0,$BH$27,IF(BI29&gt;0,$BI$27,IF(BJ29&gt;0,$BJ$27,IF(BK29&gt;0,$BK$27,))))))))))))))))))))))))))))))))))))))))))))))))))))</f>
        <v>45782</v>
      </c>
      <c r="K29" s="83" t="s">
        <v>90</v>
      </c>
      <c r="L29" s="12"/>
      <c r="M29" s="13"/>
      <c r="N29" s="13"/>
      <c r="O29" s="13"/>
      <c r="P29" s="13"/>
      <c r="Q29" s="13"/>
      <c r="R29" s="29"/>
      <c r="S29" s="13"/>
      <c r="T29" s="13"/>
      <c r="U29" s="13"/>
      <c r="V29" s="13"/>
      <c r="W29" s="13"/>
      <c r="X29" s="29"/>
      <c r="Y29" s="13"/>
      <c r="Z29" s="13"/>
      <c r="AA29" s="13"/>
      <c r="AB29" s="13"/>
      <c r="AC29" s="13"/>
      <c r="AD29" s="59">
        <v>1</v>
      </c>
      <c r="AE29" s="59">
        <v>1</v>
      </c>
      <c r="AF29" s="59">
        <v>1</v>
      </c>
      <c r="AG29" s="59">
        <v>1</v>
      </c>
      <c r="AH29" s="59">
        <v>1</v>
      </c>
      <c r="AI29" s="59">
        <v>1</v>
      </c>
      <c r="AJ29" s="59"/>
      <c r="AK29" s="59"/>
      <c r="AL29" s="59"/>
      <c r="AM29" s="16"/>
      <c r="AN29" s="16"/>
      <c r="AO29" s="13"/>
      <c r="AP29" s="31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>
        <v>1</v>
      </c>
      <c r="BB29" s="16">
        <v>1</v>
      </c>
      <c r="BC29" s="16">
        <v>1</v>
      </c>
      <c r="BD29" s="16"/>
      <c r="BE29" s="16"/>
      <c r="BF29" s="16"/>
      <c r="BG29" s="16"/>
      <c r="BH29" s="16"/>
      <c r="BI29" s="16"/>
      <c r="BJ29" s="16"/>
      <c r="BK29" s="42"/>
      <c r="BM29" s="24">
        <f>IFERROR(COUNTA(L29:BK29)/COUNTA(L29:BK29),"")</f>
        <v>1</v>
      </c>
    </row>
    <row r="30" spans="2:65" s="4" customFormat="1" ht="24" hidden="1" customHeight="1" x14ac:dyDescent="0.25">
      <c r="B30" s="75"/>
      <c r="C30" s="79"/>
      <c r="D30" s="79"/>
      <c r="E30" s="79"/>
      <c r="F30" s="79"/>
      <c r="G30" s="73"/>
      <c r="H30" s="73"/>
      <c r="I30" s="77"/>
      <c r="J30" s="73"/>
      <c r="K30" s="73"/>
      <c r="L30" s="14"/>
      <c r="M30" s="15"/>
      <c r="N30" s="15"/>
      <c r="O30" s="15"/>
      <c r="P30" s="15"/>
      <c r="Q30" s="15"/>
      <c r="R30" s="30"/>
      <c r="S30" s="15"/>
      <c r="T30" s="15"/>
      <c r="U30" s="15"/>
      <c r="V30" s="15"/>
      <c r="W30" s="15"/>
      <c r="X30" s="30"/>
      <c r="Y30" s="15"/>
      <c r="Z30" s="15"/>
      <c r="AA30" s="15"/>
      <c r="AB30" s="15"/>
      <c r="AC30" s="15"/>
      <c r="AD30" s="30"/>
      <c r="AE30" s="15"/>
      <c r="AF30" s="15"/>
      <c r="AG30" s="15"/>
      <c r="AH30" s="15"/>
      <c r="AI30" s="15"/>
      <c r="AJ30" s="17"/>
      <c r="AK30" s="17"/>
      <c r="AL30" s="17"/>
      <c r="AM30" s="17"/>
      <c r="AN30" s="17"/>
      <c r="AO30" s="15"/>
      <c r="AP30" s="32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43"/>
      <c r="BM30" s="28">
        <f>IFERROR(COUNTIF(L30:BK30,2)/COUNTIF(L29:BK29,1),"")</f>
        <v>0</v>
      </c>
    </row>
    <row r="31" spans="2:65" s="4" customFormat="1" ht="24" customHeight="1" x14ac:dyDescent="0.25">
      <c r="B31" s="74">
        <v>2</v>
      </c>
      <c r="C31" s="78" t="s">
        <v>132</v>
      </c>
      <c r="D31" s="78" t="s">
        <v>133</v>
      </c>
      <c r="E31" s="78" t="s">
        <v>76</v>
      </c>
      <c r="F31" s="78" t="s">
        <v>176</v>
      </c>
      <c r="G31" s="83" t="s">
        <v>67</v>
      </c>
      <c r="H31" s="83" t="s">
        <v>79</v>
      </c>
      <c r="I31" s="76" t="str">
        <f t="shared" si="1"/>
        <v>Por Ejecutar</v>
      </c>
      <c r="J31" s="72">
        <f>IF(L31&gt;0,$L$27,IF(M31&gt;0,$M$27,IF(N31&gt;0,$N$27,IF(O31&gt;0,$O$27,IF(P31&gt;0,$P$27,IF(Q31&gt;0,$Q$27,IF(R31&gt;0,$R$27,IF(S31&gt;0,$S$27,IF(T31&gt;0,$T$27,IF(U31&gt;0,$U$27,IF(V31&gt;0,$V$27,IF(W31&gt;0,$W$27,IF(X31&gt;0,$X$27,IF(Y31&gt;0,$Y$27,IF(Z31&gt;0,$Z$27,IF(AA31&gt;0,$AA$27,IF(AB31&gt;0,$AB$27,IF(AC31&gt;0,$AC$27,IF(AD31&gt;0,$AD$27,IF(AE31&gt;0,$AE$27,IF(AF31&gt;0,$AF$27,IF(AG31&gt;0,$AG$27,IF(AH31&gt;0,$AH$27,IF(AI31&gt;0,$AI$27,IF(AJ31&gt;0,$AJ$27,IF(AK31&gt;0,$AK$27,IF(AL31&gt;0,$AL$27,IF(AM31&gt;0,$AM$27,IF(AN31&gt;0,$AN$27,IF(AO31&gt;0,$AO$27,IF(AP31&gt;0,$AP$27,IF(AQ31&gt;0,$AQ$27,IF(AR31&gt;0,$AR$27,IF(AS31&gt;0,$AS$27,IF(AT31&gt;0,$AT$27,IF(AU31&gt;0,$AU$27,IF(AV31&gt;0,$AV$27,IF(AW31&gt;0,$AW$27,IF(AX31&gt;0,$AX$27,IF(AY31&gt;0,$AY$27,IF(AZ31&gt;0,$AZ$27,IF(BA31&gt;0,$BA$27,IF(BB31&gt;0,$BB$27,IF(BC31&gt;0,$BC$27,IF(BD31&gt;0,$BD$27,IF(BE31&gt;0,$BE$27,IF(BF31&gt;0,$BF$27,IF(BG31&gt;0,$BG$27,IF(BH31&gt;0,$BH$27,IF(BI31&gt;0,$BI$27,IF(BJ31&gt;0,$BJ$27,IF(BK31&gt;0,$BK$27,))))))))))))))))))))))))))))))))))))))))))))))))))))</f>
        <v>45782</v>
      </c>
      <c r="K31" s="83" t="s">
        <v>90</v>
      </c>
      <c r="L31" s="12"/>
      <c r="M31" s="13"/>
      <c r="N31" s="13"/>
      <c r="O31" s="13"/>
      <c r="P31" s="13"/>
      <c r="Q31" s="13"/>
      <c r="R31" s="29"/>
      <c r="S31" s="13"/>
      <c r="T31" s="13"/>
      <c r="U31" s="13"/>
      <c r="V31" s="13"/>
      <c r="W31" s="13"/>
      <c r="X31" s="29"/>
      <c r="Y31" s="13"/>
      <c r="Z31" s="13"/>
      <c r="AA31" s="13"/>
      <c r="AB31" s="13"/>
      <c r="AC31" s="13"/>
      <c r="AD31" s="59">
        <v>1</v>
      </c>
      <c r="AE31" s="59">
        <v>1</v>
      </c>
      <c r="AF31" s="59">
        <v>1</v>
      </c>
      <c r="AG31" s="59">
        <v>1</v>
      </c>
      <c r="AH31" s="59">
        <v>1</v>
      </c>
      <c r="AI31" s="59">
        <v>1</v>
      </c>
      <c r="AJ31" s="59"/>
      <c r="AK31" s="59"/>
      <c r="AL31" s="59"/>
      <c r="AM31" s="16"/>
      <c r="AN31" s="16"/>
      <c r="AO31" s="13"/>
      <c r="AP31" s="31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>
        <v>1</v>
      </c>
      <c r="BB31" s="16">
        <v>1</v>
      </c>
      <c r="BC31" s="16">
        <v>1</v>
      </c>
      <c r="BD31" s="16"/>
      <c r="BE31" s="16"/>
      <c r="BF31" s="16"/>
      <c r="BG31" s="16"/>
      <c r="BH31" s="16"/>
      <c r="BI31" s="16"/>
      <c r="BJ31" s="16"/>
      <c r="BK31" s="42"/>
      <c r="BM31" s="24">
        <f>IFERROR(COUNTA(L31:BK31)/COUNTA(L31:BK31),"")</f>
        <v>1</v>
      </c>
    </row>
    <row r="32" spans="2:65" s="4" customFormat="1" ht="24" hidden="1" customHeight="1" x14ac:dyDescent="0.25">
      <c r="B32" s="75"/>
      <c r="C32" s="79"/>
      <c r="D32" s="79"/>
      <c r="E32" s="79"/>
      <c r="F32" s="79"/>
      <c r="G32" s="73"/>
      <c r="H32" s="73"/>
      <c r="I32" s="77"/>
      <c r="J32" s="73"/>
      <c r="K32" s="73"/>
      <c r="L32" s="14"/>
      <c r="M32" s="15"/>
      <c r="N32" s="15"/>
      <c r="O32" s="15"/>
      <c r="P32" s="15"/>
      <c r="Q32" s="15"/>
      <c r="R32" s="30"/>
      <c r="S32" s="15"/>
      <c r="T32" s="15"/>
      <c r="U32" s="15"/>
      <c r="V32" s="15"/>
      <c r="W32" s="15"/>
      <c r="X32" s="30"/>
      <c r="Y32" s="15"/>
      <c r="Z32" s="15"/>
      <c r="AA32" s="15"/>
      <c r="AB32" s="15"/>
      <c r="AC32" s="15"/>
      <c r="AD32" s="30"/>
      <c r="AE32" s="15"/>
      <c r="AF32" s="15"/>
      <c r="AG32" s="15"/>
      <c r="AH32" s="15"/>
      <c r="AI32" s="15"/>
      <c r="AJ32" s="17"/>
      <c r="AK32" s="17"/>
      <c r="AL32" s="17"/>
      <c r="AM32" s="17"/>
      <c r="AN32" s="17"/>
      <c r="AO32" s="15"/>
      <c r="AP32" s="32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43"/>
      <c r="BM32" s="28">
        <f>IFERROR(COUNTIF(L32:BK32,2)/COUNTIF(L31:BK31,1),"")</f>
        <v>0</v>
      </c>
    </row>
    <row r="33" spans="2:65" s="4" customFormat="1" ht="24" customHeight="1" x14ac:dyDescent="0.25">
      <c r="B33" s="74">
        <v>3</v>
      </c>
      <c r="C33" s="78" t="s">
        <v>132</v>
      </c>
      <c r="D33" s="78" t="s">
        <v>133</v>
      </c>
      <c r="E33" s="78" t="s">
        <v>76</v>
      </c>
      <c r="F33" s="78" t="s">
        <v>178</v>
      </c>
      <c r="G33" s="83" t="s">
        <v>67</v>
      </c>
      <c r="H33" s="83" t="s">
        <v>79</v>
      </c>
      <c r="I33" s="76" t="str">
        <f t="shared" si="1"/>
        <v>Por Ejecutar</v>
      </c>
      <c r="J33" s="72">
        <f>IF(L33&gt;0,$L$27,IF(M33&gt;0,$M$27,IF(N33&gt;0,$N$27,IF(O33&gt;0,$O$27,IF(P33&gt;0,$P$27,IF(Q33&gt;0,$Q$27,IF(R33&gt;0,$R$27,IF(S33&gt;0,$S$27,IF(T33&gt;0,$T$27,IF(U33&gt;0,$U$27,IF(V33&gt;0,$V$27,IF(W33&gt;0,$W$27,IF(X33&gt;0,$X$27,IF(Y33&gt;0,$Y$27,IF(Z33&gt;0,$Z$27,IF(AA33&gt;0,$AA$27,IF(AB33&gt;0,$AB$27,IF(AC33&gt;0,$AC$27,IF(AD33&gt;0,$AD$27,IF(AE33&gt;0,$AE$27,IF(AF33&gt;0,$AF$27,IF(AG33&gt;0,$AG$27,IF(AH33&gt;0,$AH$27,IF(AI33&gt;0,$AI$27,IF(AJ33&gt;0,$AJ$27,IF(AK33&gt;0,$AK$27,IF(AL33&gt;0,$AL$27,IF(AM33&gt;0,$AM$27,IF(AN33&gt;0,$AN$27,IF(AO33&gt;0,$AO$27,IF(AP33&gt;0,$AP$27,IF(AQ33&gt;0,$AQ$27,IF(AR33&gt;0,$AR$27,IF(AS33&gt;0,$AS$27,IF(AT33&gt;0,$AT$27,IF(AU33&gt;0,$AU$27,IF(AV33&gt;0,$AV$27,IF(AW33&gt;0,$AW$27,IF(AX33&gt;0,$AX$27,IF(AY33&gt;0,$AY$27,IF(AZ33&gt;0,$AZ$27,IF(BA33&gt;0,$BA$27,IF(BB33&gt;0,$BB$27,IF(BC33&gt;0,$BC$27,IF(BD33&gt;0,$BD$27,IF(BE33&gt;0,$BE$27,IF(BF33&gt;0,$BF$27,IF(BG33&gt;0,$BG$27,IF(BH33&gt;0,$BH$27,IF(BI33&gt;0,$BI$27,IF(BJ33&gt;0,$BJ$27,IF(BK33&gt;0,$BK$27,))))))))))))))))))))))))))))))))))))))))))))))))))))</f>
        <v>45782</v>
      </c>
      <c r="K33" s="83" t="s">
        <v>90</v>
      </c>
      <c r="L33" s="12"/>
      <c r="M33" s="13"/>
      <c r="N33" s="13"/>
      <c r="O33" s="13"/>
      <c r="P33" s="13"/>
      <c r="Q33" s="13"/>
      <c r="R33" s="29"/>
      <c r="S33" s="13"/>
      <c r="T33" s="13"/>
      <c r="U33" s="13"/>
      <c r="V33" s="13"/>
      <c r="W33" s="13"/>
      <c r="X33" s="29"/>
      <c r="Y33" s="13"/>
      <c r="Z33" s="13"/>
      <c r="AA33" s="13"/>
      <c r="AB33" s="13"/>
      <c r="AC33" s="13"/>
      <c r="AD33" s="59">
        <v>1</v>
      </c>
      <c r="AE33" s="59">
        <v>1</v>
      </c>
      <c r="AF33" s="59">
        <v>1</v>
      </c>
      <c r="AG33" s="59">
        <v>1</v>
      </c>
      <c r="AH33" s="59">
        <v>1</v>
      </c>
      <c r="AI33" s="59">
        <v>1</v>
      </c>
      <c r="AJ33" s="59"/>
      <c r="AK33" s="59"/>
      <c r="AL33" s="59"/>
      <c r="AM33" s="16"/>
      <c r="AN33" s="16"/>
      <c r="AO33" s="13"/>
      <c r="AP33" s="31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>
        <v>1</v>
      </c>
      <c r="BB33" s="16">
        <v>1</v>
      </c>
      <c r="BC33" s="16">
        <v>1</v>
      </c>
      <c r="BD33" s="16"/>
      <c r="BE33" s="16"/>
      <c r="BF33" s="16"/>
      <c r="BG33" s="16"/>
      <c r="BH33" s="16"/>
      <c r="BI33" s="16"/>
      <c r="BJ33" s="16"/>
      <c r="BK33" s="42"/>
      <c r="BM33" s="24">
        <f>IFERROR(COUNTA(L33:BK33)/COUNTA(L33:BK33),"")</f>
        <v>1</v>
      </c>
    </row>
    <row r="34" spans="2:65" s="4" customFormat="1" ht="24" hidden="1" customHeight="1" x14ac:dyDescent="0.25">
      <c r="B34" s="75"/>
      <c r="C34" s="79"/>
      <c r="D34" s="79"/>
      <c r="E34" s="79"/>
      <c r="F34" s="79"/>
      <c r="G34" s="73"/>
      <c r="H34" s="73"/>
      <c r="I34" s="77"/>
      <c r="J34" s="73"/>
      <c r="K34" s="73"/>
      <c r="L34" s="14"/>
      <c r="M34" s="15"/>
      <c r="N34" s="15"/>
      <c r="O34" s="15"/>
      <c r="P34" s="15"/>
      <c r="Q34" s="15"/>
      <c r="R34" s="30"/>
      <c r="S34" s="15"/>
      <c r="T34" s="15"/>
      <c r="U34" s="15"/>
      <c r="V34" s="15"/>
      <c r="W34" s="15"/>
      <c r="X34" s="30"/>
      <c r="Y34" s="15"/>
      <c r="Z34" s="15"/>
      <c r="AA34" s="15"/>
      <c r="AB34" s="15"/>
      <c r="AC34" s="15"/>
      <c r="AD34" s="30"/>
      <c r="AE34" s="15"/>
      <c r="AF34" s="15"/>
      <c r="AG34" s="15"/>
      <c r="AH34" s="15"/>
      <c r="AI34" s="15"/>
      <c r="AJ34" s="17"/>
      <c r="AK34" s="17"/>
      <c r="AL34" s="17"/>
      <c r="AM34" s="17"/>
      <c r="AN34" s="17"/>
      <c r="AO34" s="15"/>
      <c r="AP34" s="32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43"/>
      <c r="BM34" s="28">
        <f>IFERROR(COUNTIF(L34:BK34,2)/COUNTIF(L33:BK33,1),"")</f>
        <v>0</v>
      </c>
    </row>
    <row r="35" spans="2:65" s="4" customFormat="1" ht="24" hidden="1" customHeight="1" x14ac:dyDescent="0.25">
      <c r="B35" s="74">
        <v>4</v>
      </c>
      <c r="C35" s="78" t="s">
        <v>132</v>
      </c>
      <c r="D35" s="78" t="s">
        <v>230</v>
      </c>
      <c r="E35" s="78" t="s">
        <v>76</v>
      </c>
      <c r="F35" s="154" t="s">
        <v>196</v>
      </c>
      <c r="G35" s="83" t="s">
        <v>67</v>
      </c>
      <c r="H35" s="83" t="s">
        <v>79</v>
      </c>
      <c r="I35" s="76" t="str">
        <f t="shared" si="1"/>
        <v>Por Ejecutar</v>
      </c>
      <c r="J35" s="72">
        <f>IF(L35&gt;0,$L$27,IF(M35&gt;0,$M$27,IF(N35&gt;0,$N$27,IF(O35&gt;0,$O$27,IF(P35&gt;0,$P$27,IF(Q35&gt;0,$Q$27,IF(R35&gt;0,$R$27,IF(S35&gt;0,$S$27,IF(T35&gt;0,$T$27,IF(U35&gt;0,$U$27,IF(V35&gt;0,$V$27,IF(W35&gt;0,$W$27,IF(X35&gt;0,$X$27,IF(Y35&gt;0,$Y$27,IF(Z35&gt;0,$Z$27,IF(AA35&gt;0,$AA$27,IF(AB35&gt;0,$AB$27,IF(AC35&gt;0,$AC$27,IF(AD35&gt;0,$AD$27,IF(AE35&gt;0,$AE$27,IF(AF35&gt;0,$AF$27,IF(AG35&gt;0,$AG$27,IF(AH35&gt;0,$AH$27,IF(AI35&gt;0,$AI$27,IF(AJ35&gt;0,$AJ$27,IF(AK35&gt;0,$AK$27,IF(AL35&gt;0,$AL$27,IF(AM35&gt;0,$AM$27,IF(AN35&gt;0,$AN$27,IF(AO35&gt;0,$AO$27,IF(AP35&gt;0,$AP$27,IF(AQ35&gt;0,$AQ$27,IF(AR35&gt;0,$AR$27,IF(AS35&gt;0,$AS$27,IF(AT35&gt;0,$AT$27,IF(AU35&gt;0,$AU$27,IF(AV35&gt;0,$AV$27,IF(AW35&gt;0,$AW$27,IF(AX35&gt;0,$AX$27,IF(AY35&gt;0,$AY$27,IF(AZ35&gt;0,$AZ$27,IF(BA35&gt;0,$BA$27,IF(BB35&gt;0,$BB$27,IF(BC35&gt;0,$BC$27,IF(BD35&gt;0,$BD$27,IF(BE35&gt;0,$BE$27,IF(BF35&gt;0,$BF$27,IF(BG35&gt;0,$BG$27,IF(BH35&gt;0,$BH$27,IF(BI35&gt;0,$BI$27,IF(BJ35&gt;0,$BJ$27,IF(BK35&gt;0,$BK$27,))))))))))))))))))))))))))))))))))))))))))))))))))))</f>
        <v>45740</v>
      </c>
      <c r="K35" s="83" t="s">
        <v>91</v>
      </c>
      <c r="L35" s="12"/>
      <c r="M35" s="13"/>
      <c r="N35" s="13"/>
      <c r="O35" s="13"/>
      <c r="P35" s="13"/>
      <c r="Q35" s="13"/>
      <c r="R35" s="29"/>
      <c r="S35" s="13"/>
      <c r="T35" s="13"/>
      <c r="U35" s="13"/>
      <c r="V35" s="13"/>
      <c r="W35" s="13"/>
      <c r="X35" s="29">
        <v>1</v>
      </c>
      <c r="Y35" s="13"/>
      <c r="Z35" s="13"/>
      <c r="AA35" s="13"/>
      <c r="AB35" s="13"/>
      <c r="AC35" s="13"/>
      <c r="AD35" s="59"/>
      <c r="AE35" s="59"/>
      <c r="AF35" s="59"/>
      <c r="AG35" s="59"/>
      <c r="AH35" s="59"/>
      <c r="AI35" s="59"/>
      <c r="AJ35" s="59"/>
      <c r="AK35" s="59">
        <v>1</v>
      </c>
      <c r="AL35" s="59"/>
      <c r="AM35" s="16"/>
      <c r="AN35" s="16"/>
      <c r="AO35" s="13"/>
      <c r="AP35" s="31"/>
      <c r="AQ35" s="16"/>
      <c r="AR35" s="16"/>
      <c r="AS35" s="16"/>
      <c r="AT35" s="16"/>
      <c r="AU35" s="16"/>
      <c r="AV35" s="16"/>
      <c r="AW35" s="16"/>
      <c r="AX35" s="16">
        <v>1</v>
      </c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>
        <v>1</v>
      </c>
      <c r="BK35" s="42"/>
      <c r="BM35" s="24">
        <f>IFERROR(COUNTA(L35:BK35)/COUNTA(L35:BK35),"")</f>
        <v>1</v>
      </c>
    </row>
    <row r="36" spans="2:65" s="4" customFormat="1" ht="12.75" hidden="1" x14ac:dyDescent="0.25">
      <c r="B36" s="75"/>
      <c r="C36" s="79"/>
      <c r="D36" s="79"/>
      <c r="E36" s="79"/>
      <c r="F36" s="79"/>
      <c r="G36" s="73"/>
      <c r="H36" s="73"/>
      <c r="I36" s="77"/>
      <c r="J36" s="73"/>
      <c r="K36" s="73"/>
      <c r="L36" s="14"/>
      <c r="M36" s="15"/>
      <c r="N36" s="15"/>
      <c r="O36" s="15"/>
      <c r="P36" s="15"/>
      <c r="Q36" s="15"/>
      <c r="R36" s="30"/>
      <c r="S36" s="15"/>
      <c r="T36" s="15"/>
      <c r="U36" s="15"/>
      <c r="V36" s="15"/>
      <c r="W36" s="15"/>
      <c r="X36" s="30"/>
      <c r="Y36" s="15"/>
      <c r="Z36" s="15"/>
      <c r="AA36" s="15"/>
      <c r="AB36" s="15"/>
      <c r="AC36" s="15"/>
      <c r="AD36" s="30"/>
      <c r="AE36" s="15"/>
      <c r="AF36" s="15"/>
      <c r="AG36" s="15"/>
      <c r="AH36" s="15"/>
      <c r="AI36" s="15"/>
      <c r="AJ36" s="17"/>
      <c r="AK36" s="17"/>
      <c r="AL36" s="17"/>
      <c r="AM36" s="17"/>
      <c r="AN36" s="17"/>
      <c r="AO36" s="15"/>
      <c r="AP36" s="32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43"/>
      <c r="BM36" s="28">
        <f>IFERROR(COUNTIF(L36:BK36,2)/COUNTIF(L35:BK35,1),"")</f>
        <v>0</v>
      </c>
    </row>
    <row r="37" spans="2:65" s="4" customFormat="1" ht="12.75" x14ac:dyDescent="0.25">
      <c r="B37" s="74">
        <v>5</v>
      </c>
      <c r="C37" s="78" t="s">
        <v>132</v>
      </c>
      <c r="D37" s="78" t="s">
        <v>230</v>
      </c>
      <c r="E37" s="78" t="s">
        <v>76</v>
      </c>
      <c r="F37" s="78" t="s">
        <v>196</v>
      </c>
      <c r="G37" s="83" t="s">
        <v>66</v>
      </c>
      <c r="H37" s="83" t="s">
        <v>79</v>
      </c>
      <c r="I37" s="76" t="str">
        <f t="shared" si="1"/>
        <v>Por Ejecutar</v>
      </c>
      <c r="J37" s="72">
        <f>IF(L37&gt;0,$L$27,IF(M37&gt;0,$M$27,IF(N37&gt;0,$N$27,IF(O37&gt;0,$O$27,IF(P37&gt;0,$P$27,IF(Q37&gt;0,$Q$27,IF(R37&gt;0,$R$27,IF(S37&gt;0,$S$27,IF(T37&gt;0,$T$27,IF(U37&gt;0,$U$27,IF(V37&gt;0,$V$27,IF(W37&gt;0,$W$27,IF(X37&gt;0,$X$27,IF(Y37&gt;0,$Y$27,IF(Z37&gt;0,$Z$27,IF(AA37&gt;0,$AA$27,IF(AB37&gt;0,$AB$27,IF(AC37&gt;0,$AC$27,IF(AD37&gt;0,$AD$27,IF(AE37&gt;0,$AE$27,IF(AF37&gt;0,$AF$27,IF(AG37&gt;0,$AG$27,IF(AH37&gt;0,$AH$27,IF(AI37&gt;0,$AI$27,IF(AJ37&gt;0,$AJ$27,IF(AK37&gt;0,$AK$27,IF(AL37&gt;0,$AL$27,IF(AM37&gt;0,$AM$27,IF(AN37&gt;0,$AN$27,IF(AO37&gt;0,$AO$27,IF(AP37&gt;0,$AP$27,IF(AQ37&gt;0,$AQ$27,IF(AR37&gt;0,$AR$27,IF(AS37&gt;0,$AS$27,IF(AT37&gt;0,$AT$27,IF(AU37&gt;0,$AU$27,IF(AV37&gt;0,$AV$27,IF(AW37&gt;0,$AW$27,IF(AX37&gt;0,$AX$27,IF(AY37&gt;0,$AY$27,IF(AZ37&gt;0,$AZ$27,IF(BA37&gt;0,$BA$27,IF(BB37&gt;0,$BB$27,IF(BC37&gt;0,$BC$27,IF(BD37&gt;0,$BD$27,IF(BE37&gt;0,$BE$27,IF(BF37&gt;0,$BF$27,IF(BG37&gt;0,$BG$27,IF(BH37&gt;0,$BH$27,IF(BI37&gt;0,$BI$27,IF(BJ37&gt;0,$BJ$27,IF(BK37&gt;0,$BK$27,))))))))))))))))))))))))))))))))))))))))))))))))))))</f>
        <v>45782</v>
      </c>
      <c r="K37" s="83" t="s">
        <v>90</v>
      </c>
      <c r="L37" s="12"/>
      <c r="M37" s="13"/>
      <c r="N37" s="13"/>
      <c r="O37" s="13"/>
      <c r="P37" s="13"/>
      <c r="Q37" s="13"/>
      <c r="R37" s="29"/>
      <c r="S37" s="13"/>
      <c r="T37" s="13"/>
      <c r="U37" s="13"/>
      <c r="V37" s="13"/>
      <c r="W37" s="13"/>
      <c r="X37" s="29"/>
      <c r="Y37" s="13"/>
      <c r="Z37" s="13"/>
      <c r="AA37" s="13"/>
      <c r="AB37" s="13"/>
      <c r="AC37" s="13"/>
      <c r="AD37" s="59">
        <v>1</v>
      </c>
      <c r="AE37" s="59">
        <v>1</v>
      </c>
      <c r="AF37" s="59">
        <v>1</v>
      </c>
      <c r="AG37" s="59">
        <v>1</v>
      </c>
      <c r="AH37" s="59">
        <v>1</v>
      </c>
      <c r="AI37" s="59">
        <v>1</v>
      </c>
      <c r="AJ37" s="59"/>
      <c r="AK37" s="59"/>
      <c r="AL37" s="59"/>
      <c r="AM37" s="16"/>
      <c r="AN37" s="16"/>
      <c r="AO37" s="13"/>
      <c r="AP37" s="31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>
        <v>1</v>
      </c>
      <c r="BB37" s="16">
        <v>1</v>
      </c>
      <c r="BC37" s="16">
        <v>1</v>
      </c>
      <c r="BD37" s="16"/>
      <c r="BE37" s="16"/>
      <c r="BF37" s="16"/>
      <c r="BG37" s="16"/>
      <c r="BH37" s="16"/>
      <c r="BI37" s="16"/>
      <c r="BJ37" s="16"/>
      <c r="BK37" s="42"/>
      <c r="BM37" s="24">
        <f>IFERROR(COUNTA(L37:BK37)/COUNTA(L37:BK37),"")</f>
        <v>1</v>
      </c>
    </row>
    <row r="38" spans="2:65" s="4" customFormat="1" ht="12.75" hidden="1" x14ac:dyDescent="0.25">
      <c r="B38" s="75"/>
      <c r="C38" s="79"/>
      <c r="D38" s="79"/>
      <c r="E38" s="79"/>
      <c r="F38" s="79"/>
      <c r="G38" s="73"/>
      <c r="H38" s="73"/>
      <c r="I38" s="77"/>
      <c r="J38" s="73"/>
      <c r="K38" s="73"/>
      <c r="L38" s="14"/>
      <c r="M38" s="15"/>
      <c r="N38" s="15"/>
      <c r="O38" s="15"/>
      <c r="P38" s="15"/>
      <c r="Q38" s="15"/>
      <c r="R38" s="30"/>
      <c r="S38" s="15"/>
      <c r="T38" s="15"/>
      <c r="U38" s="15"/>
      <c r="V38" s="15"/>
      <c r="W38" s="15"/>
      <c r="X38" s="30"/>
      <c r="Y38" s="15"/>
      <c r="Z38" s="15"/>
      <c r="AA38" s="15"/>
      <c r="AB38" s="15"/>
      <c r="AC38" s="15"/>
      <c r="AD38" s="30"/>
      <c r="AE38" s="15"/>
      <c r="AF38" s="15"/>
      <c r="AG38" s="15"/>
      <c r="AH38" s="15"/>
      <c r="AI38" s="15"/>
      <c r="AJ38" s="17"/>
      <c r="AK38" s="17"/>
      <c r="AL38" s="17"/>
      <c r="AM38" s="17"/>
      <c r="AN38" s="17"/>
      <c r="AO38" s="15"/>
      <c r="AP38" s="32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43"/>
      <c r="BM38" s="28">
        <f>IFERROR(COUNTIF(L38:BK38,2)/COUNTIF(L37:BK37,1),"")</f>
        <v>0</v>
      </c>
    </row>
    <row r="39" spans="2:65" s="4" customFormat="1" ht="24" hidden="1" customHeight="1" x14ac:dyDescent="0.25">
      <c r="B39" s="74">
        <v>6</v>
      </c>
      <c r="C39" s="78" t="s">
        <v>132</v>
      </c>
      <c r="D39" s="78" t="s">
        <v>133</v>
      </c>
      <c r="E39" s="78" t="s">
        <v>76</v>
      </c>
      <c r="F39" s="154" t="s">
        <v>179</v>
      </c>
      <c r="G39" s="83" t="s">
        <v>67</v>
      </c>
      <c r="H39" s="83" t="s">
        <v>79</v>
      </c>
      <c r="I39" s="76" t="str">
        <f t="shared" si="1"/>
        <v>En Proceso</v>
      </c>
      <c r="J39" s="72">
        <f>IF(L39&gt;0,$L$27,IF(M39&gt;0,$M$27,IF(N39&gt;0,$N$27,IF(O39&gt;0,$O$27,IF(P39&gt;0,$P$27,IF(Q39&gt;0,$Q$27,IF(R39&gt;0,$R$27,IF(S39&gt;0,$S$27,IF(T39&gt;0,$T$27,IF(U39&gt;0,$U$27,IF(V39&gt;0,$V$27,IF(W39&gt;0,$W$27,IF(X39&gt;0,$X$27,IF(Y39&gt;0,$Y$27,IF(Z39&gt;0,$Z$27,IF(AA39&gt;0,$AA$27,IF(AB39&gt;0,$AB$27,IF(AC39&gt;0,$AC$27,IF(AD39&gt;0,$AD$27,IF(AE39&gt;0,$AE$27,IF(AF39&gt;0,$AF$27,IF(AG39&gt;0,$AG$27,IF(AH39&gt;0,$AH$27,IF(AI39&gt;0,$AI$27,IF(AJ39&gt;0,$AJ$27,IF(AK39&gt;0,$AK$27,IF(AL39&gt;0,$AL$27,IF(AM39&gt;0,$AM$27,IF(AN39&gt;0,$AN$27,IF(AO39&gt;0,$AO$27,IF(AP39&gt;0,$AP$27,IF(AQ39&gt;0,$AQ$27,IF(AR39&gt;0,$AR$27,IF(AS39&gt;0,$AS$27,IF(AT39&gt;0,$AT$27,IF(AU39&gt;0,$AU$27,IF(AV39&gt;0,$AV$27,IF(AW39&gt;0,$AW$27,IF(AX39&gt;0,$AX$27,IF(AY39&gt;0,$AY$27,IF(AZ39&gt;0,$AZ$27,IF(BA39&gt;0,$BA$27,IF(BB39&gt;0,$BB$27,IF(BC39&gt;0,$BC$27,IF(BD39&gt;0,$BD$27,IF(BE39&gt;0,$BE$27,IF(BF39&gt;0,$BF$27,IF(BG39&gt;0,$BG$27,IF(BH39&gt;0,$BH$27,IF(BI39&gt;0,$BI$27,IF(BJ39&gt;0,$BJ$27,IF(BK39&gt;0,$BK$27,))))))))))))))))))))))))))))))))))))))))))))))))))))</f>
        <v>45782</v>
      </c>
      <c r="K39" s="83" t="s">
        <v>91</v>
      </c>
      <c r="L39" s="12"/>
      <c r="M39" s="13"/>
      <c r="N39" s="13"/>
      <c r="O39" s="13"/>
      <c r="P39" s="13"/>
      <c r="Q39" s="13"/>
      <c r="R39" s="29"/>
      <c r="S39" s="13"/>
      <c r="T39" s="13"/>
      <c r="U39" s="13"/>
      <c r="V39" s="13"/>
      <c r="W39" s="13"/>
      <c r="X39" s="29"/>
      <c r="Y39" s="13"/>
      <c r="Z39" s="13"/>
      <c r="AA39" s="13"/>
      <c r="AB39" s="13"/>
      <c r="AC39" s="13"/>
      <c r="AD39" s="59">
        <v>1</v>
      </c>
      <c r="AE39" s="59">
        <v>1</v>
      </c>
      <c r="AF39" s="59">
        <v>1</v>
      </c>
      <c r="AG39" s="59">
        <v>1</v>
      </c>
      <c r="AH39" s="59">
        <v>1</v>
      </c>
      <c r="AI39" s="59">
        <v>1</v>
      </c>
      <c r="AJ39" s="59"/>
      <c r="AK39" s="59"/>
      <c r="AL39" s="59"/>
      <c r="AM39" s="16"/>
      <c r="AN39" s="16"/>
      <c r="AO39" s="13"/>
      <c r="AP39" s="31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>
        <v>1</v>
      </c>
      <c r="BB39" s="16">
        <v>1</v>
      </c>
      <c r="BC39" s="16">
        <v>1</v>
      </c>
      <c r="BD39" s="16"/>
      <c r="BE39" s="16"/>
      <c r="BF39" s="16"/>
      <c r="BG39" s="16"/>
      <c r="BH39" s="16"/>
      <c r="BI39" s="16"/>
      <c r="BJ39" s="16"/>
      <c r="BK39" s="42"/>
      <c r="BM39" s="24">
        <f>IFERROR(COUNTA(L39:BK39)/COUNTA(L39:BK39),"")</f>
        <v>1</v>
      </c>
    </row>
    <row r="40" spans="2:65" s="4" customFormat="1" ht="24" hidden="1" customHeight="1" x14ac:dyDescent="0.25">
      <c r="B40" s="75"/>
      <c r="C40" s="79"/>
      <c r="D40" s="79"/>
      <c r="E40" s="79"/>
      <c r="F40" s="79"/>
      <c r="G40" s="73"/>
      <c r="H40" s="73"/>
      <c r="I40" s="77"/>
      <c r="J40" s="73"/>
      <c r="K40" s="73"/>
      <c r="L40" s="14"/>
      <c r="M40" s="15"/>
      <c r="N40" s="15"/>
      <c r="O40" s="15"/>
      <c r="P40" s="15"/>
      <c r="Q40" s="15"/>
      <c r="R40" s="30"/>
      <c r="S40" s="15"/>
      <c r="T40" s="15"/>
      <c r="U40" s="15"/>
      <c r="V40" s="15"/>
      <c r="W40" s="15"/>
      <c r="X40" s="30"/>
      <c r="Y40" s="15"/>
      <c r="Z40" s="15"/>
      <c r="AA40" s="15"/>
      <c r="AB40" s="15"/>
      <c r="AC40" s="15"/>
      <c r="AD40" s="30">
        <v>2</v>
      </c>
      <c r="AE40" s="15">
        <v>2</v>
      </c>
      <c r="AF40" s="15">
        <v>2</v>
      </c>
      <c r="AG40" s="15">
        <v>2</v>
      </c>
      <c r="AH40" s="15">
        <v>2</v>
      </c>
      <c r="AI40" s="15">
        <v>2</v>
      </c>
      <c r="AJ40" s="17"/>
      <c r="AK40" s="17"/>
      <c r="AL40" s="17"/>
      <c r="AM40" s="17"/>
      <c r="AN40" s="17"/>
      <c r="AO40" s="15"/>
      <c r="AP40" s="32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>
        <v>2</v>
      </c>
      <c r="BC40" s="17"/>
      <c r="BD40" s="17"/>
      <c r="BE40" s="17"/>
      <c r="BF40" s="17"/>
      <c r="BG40" s="17"/>
      <c r="BH40" s="17"/>
      <c r="BI40" s="17"/>
      <c r="BJ40" s="17"/>
      <c r="BK40" s="43"/>
      <c r="BM40" s="28">
        <f>IFERROR(COUNTIF(L40:BK40,2)/COUNTIF(L39:BK39,1),"")</f>
        <v>0.77777777777777779</v>
      </c>
    </row>
    <row r="41" spans="2:65" s="4" customFormat="1" ht="24" customHeight="1" x14ac:dyDescent="0.25">
      <c r="B41" s="74">
        <v>7</v>
      </c>
      <c r="C41" s="78" t="s">
        <v>132</v>
      </c>
      <c r="D41" s="78" t="s">
        <v>133</v>
      </c>
      <c r="E41" s="78" t="s">
        <v>76</v>
      </c>
      <c r="F41" s="78" t="s">
        <v>181</v>
      </c>
      <c r="G41" s="83" t="s">
        <v>67</v>
      </c>
      <c r="H41" s="83" t="s">
        <v>79</v>
      </c>
      <c r="I41" s="76" t="str">
        <f t="shared" si="1"/>
        <v>Por Ejecutar</v>
      </c>
      <c r="J41" s="72">
        <f>IF(L41&gt;0,$L$27,IF(M41&gt;0,$M$27,IF(N41&gt;0,$N$27,IF(O41&gt;0,$O$27,IF(P41&gt;0,$P$27,IF(Q41&gt;0,$Q$27,IF(R41&gt;0,$R$27,IF(S41&gt;0,$S$27,IF(T41&gt;0,$T$27,IF(U41&gt;0,$U$27,IF(V41&gt;0,$V$27,IF(W41&gt;0,$W$27,IF(X41&gt;0,$X$27,IF(Y41&gt;0,$Y$27,IF(Z41&gt;0,$Z$27,IF(AA41&gt;0,$AA$27,IF(AB41&gt;0,$AB$27,IF(AC41&gt;0,$AC$27,IF(AD41&gt;0,$AD$27,IF(AE41&gt;0,$AE$27,IF(AF41&gt;0,$AF$27,IF(AG41&gt;0,$AG$27,IF(AH41&gt;0,$AH$27,IF(AI41&gt;0,$AI$27,IF(AJ41&gt;0,$AJ$27,IF(AK41&gt;0,$AK$27,IF(AL41&gt;0,$AL$27,IF(AM41&gt;0,$AM$27,IF(AN41&gt;0,$AN$27,IF(AO41&gt;0,$AO$27,IF(AP41&gt;0,$AP$27,IF(AQ41&gt;0,$AQ$27,IF(AR41&gt;0,$AR$27,IF(AS41&gt;0,$AS$27,IF(AT41&gt;0,$AT$27,IF(AU41&gt;0,$AU$27,IF(AV41&gt;0,$AV$27,IF(AW41&gt;0,$AW$27,IF(AX41&gt;0,$AX$27,IF(AY41&gt;0,$AY$27,IF(AZ41&gt;0,$AZ$27,IF(BA41&gt;0,$BA$27,IF(BB41&gt;0,$BB$27,IF(BC41&gt;0,$BC$27,IF(BD41&gt;0,$BD$27,IF(BE41&gt;0,$BE$27,IF(BF41&gt;0,$BF$27,IF(BG41&gt;0,$BG$27,IF(BH41&gt;0,$BH$27,IF(BI41&gt;0,$BI$27,IF(BJ41&gt;0,$BJ$27,IF(BK41&gt;0,$BK$27,))))))))))))))))))))))))))))))))))))))))))))))))))))</f>
        <v>45782</v>
      </c>
      <c r="K41" s="83" t="s">
        <v>90</v>
      </c>
      <c r="L41" s="12"/>
      <c r="M41" s="13"/>
      <c r="N41" s="13"/>
      <c r="O41" s="13"/>
      <c r="P41" s="13"/>
      <c r="Q41" s="13"/>
      <c r="R41" s="29"/>
      <c r="S41" s="13"/>
      <c r="T41" s="13"/>
      <c r="U41" s="13"/>
      <c r="V41" s="13"/>
      <c r="W41" s="13"/>
      <c r="X41" s="29"/>
      <c r="Y41" s="13"/>
      <c r="Z41" s="13"/>
      <c r="AA41" s="13"/>
      <c r="AB41" s="13"/>
      <c r="AC41" s="13"/>
      <c r="AD41" s="59">
        <v>1</v>
      </c>
      <c r="AE41" s="59">
        <v>1</v>
      </c>
      <c r="AF41" s="59">
        <v>1</v>
      </c>
      <c r="AG41" s="59">
        <v>1</v>
      </c>
      <c r="AH41" s="59">
        <v>1</v>
      </c>
      <c r="AI41" s="59">
        <v>1</v>
      </c>
      <c r="AJ41" s="59"/>
      <c r="AK41" s="59"/>
      <c r="AL41" s="59"/>
      <c r="AM41" s="16"/>
      <c r="AN41" s="16"/>
      <c r="AO41" s="13"/>
      <c r="AP41" s="31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>
        <v>1</v>
      </c>
      <c r="BB41" s="16">
        <v>1</v>
      </c>
      <c r="BC41" s="16">
        <v>1</v>
      </c>
      <c r="BD41" s="16"/>
      <c r="BE41" s="16"/>
      <c r="BF41" s="16"/>
      <c r="BG41" s="16"/>
      <c r="BH41" s="16"/>
      <c r="BI41" s="16"/>
      <c r="BJ41" s="16"/>
      <c r="BK41" s="42"/>
      <c r="BM41" s="24">
        <f>IFERROR(COUNTA(L41:BK41)/COUNTA(L41:BK41),"")</f>
        <v>1</v>
      </c>
    </row>
    <row r="42" spans="2:65" s="4" customFormat="1" ht="24" hidden="1" customHeight="1" x14ac:dyDescent="0.25">
      <c r="B42" s="75"/>
      <c r="C42" s="79"/>
      <c r="D42" s="79"/>
      <c r="E42" s="79"/>
      <c r="F42" s="79"/>
      <c r="G42" s="73"/>
      <c r="H42" s="73"/>
      <c r="I42" s="77"/>
      <c r="J42" s="73"/>
      <c r="K42" s="73"/>
      <c r="L42" s="14"/>
      <c r="M42" s="15"/>
      <c r="N42" s="15"/>
      <c r="O42" s="15"/>
      <c r="P42" s="15"/>
      <c r="Q42" s="15"/>
      <c r="R42" s="30"/>
      <c r="S42" s="15"/>
      <c r="T42" s="15"/>
      <c r="U42" s="15"/>
      <c r="V42" s="15"/>
      <c r="W42" s="15"/>
      <c r="X42" s="30"/>
      <c r="Y42" s="15"/>
      <c r="Z42" s="15"/>
      <c r="AA42" s="15"/>
      <c r="AB42" s="15"/>
      <c r="AC42" s="15"/>
      <c r="AD42" s="30"/>
      <c r="AE42" s="15"/>
      <c r="AF42" s="15"/>
      <c r="AG42" s="15"/>
      <c r="AH42" s="15"/>
      <c r="AI42" s="15"/>
      <c r="AJ42" s="17"/>
      <c r="AK42" s="17"/>
      <c r="AL42" s="17"/>
      <c r="AM42" s="17"/>
      <c r="AN42" s="17"/>
      <c r="AO42" s="15"/>
      <c r="AP42" s="32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43"/>
      <c r="BM42" s="28">
        <f>IFERROR(COUNTIF(L42:BK42,2)/COUNTIF(L41:BK41,1),"")</f>
        <v>0</v>
      </c>
    </row>
    <row r="43" spans="2:65" s="4" customFormat="1" ht="24" hidden="1" customHeight="1" x14ac:dyDescent="0.25">
      <c r="B43" s="74">
        <v>8</v>
      </c>
      <c r="C43" s="78" t="s">
        <v>132</v>
      </c>
      <c r="D43" s="78" t="s">
        <v>133</v>
      </c>
      <c r="E43" s="78" t="s">
        <v>76</v>
      </c>
      <c r="F43" s="154" t="s">
        <v>195</v>
      </c>
      <c r="G43" s="83" t="s">
        <v>67</v>
      </c>
      <c r="H43" s="83" t="s">
        <v>79</v>
      </c>
      <c r="I43" s="76" t="str">
        <f t="shared" si="1"/>
        <v>Por Ejecutar</v>
      </c>
      <c r="J43" s="72">
        <f>IF(L43&gt;0,$L$27,IF(M43&gt;0,$M$27,IF(N43&gt;0,$N$27,IF(O43&gt;0,$O$27,IF(P43&gt;0,$P$27,IF(Q43&gt;0,$Q$27,IF(R43&gt;0,$R$27,IF(S43&gt;0,$S$27,IF(T43&gt;0,$T$27,IF(U43&gt;0,$U$27,IF(V43&gt;0,$V$27,IF(W43&gt;0,$W$27,IF(X43&gt;0,$X$27,IF(Y43&gt;0,$Y$27,IF(Z43&gt;0,$Z$27,IF(AA43&gt;0,$AA$27,IF(AB43&gt;0,$AB$27,IF(AC43&gt;0,$AC$27,IF(AD43&gt;0,$AD$27,IF(AE43&gt;0,$AE$27,IF(AF43&gt;0,$AF$27,IF(AG43&gt;0,$AG$27,IF(AH43&gt;0,$AH$27,IF(AI43&gt;0,$AI$27,IF(AJ43&gt;0,$AJ$27,IF(AK43&gt;0,$AK$27,IF(AL43&gt;0,$AL$27,IF(AM43&gt;0,$AM$27,IF(AN43&gt;0,$AN$27,IF(AO43&gt;0,$AO$27,IF(AP43&gt;0,$AP$27,IF(AQ43&gt;0,$AQ$27,IF(AR43&gt;0,$AR$27,IF(AS43&gt;0,$AS$27,IF(AT43&gt;0,$AT$27,IF(AU43&gt;0,$AU$27,IF(AV43&gt;0,$AV$27,IF(AW43&gt;0,$AW$27,IF(AX43&gt;0,$AX$27,IF(AY43&gt;0,$AY$27,IF(AZ43&gt;0,$AZ$27,IF(BA43&gt;0,$BA$27,IF(BB43&gt;0,$BB$27,IF(BC43&gt;0,$BC$27,IF(BD43&gt;0,$BD$27,IF(BE43&gt;0,$BE$27,IF(BF43&gt;0,$BF$27,IF(BG43&gt;0,$BG$27,IF(BH43&gt;0,$BH$27,IF(BI43&gt;0,$BI$27,IF(BJ43&gt;0,$BJ$27,IF(BK43&gt;0,$BK$27,))))))))))))))))))))))))))))))))))))))))))))))))))))</f>
        <v>45782</v>
      </c>
      <c r="K43" s="83" t="s">
        <v>91</v>
      </c>
      <c r="L43" s="12"/>
      <c r="M43" s="13"/>
      <c r="N43" s="13"/>
      <c r="O43" s="13"/>
      <c r="P43" s="13"/>
      <c r="Q43" s="13"/>
      <c r="R43" s="29"/>
      <c r="S43" s="13"/>
      <c r="T43" s="13"/>
      <c r="U43" s="13"/>
      <c r="V43" s="13"/>
      <c r="W43" s="13"/>
      <c r="X43" s="29"/>
      <c r="Y43" s="13"/>
      <c r="Z43" s="13"/>
      <c r="AA43" s="13"/>
      <c r="AB43" s="13"/>
      <c r="AC43" s="13"/>
      <c r="AD43" s="59">
        <v>1</v>
      </c>
      <c r="AE43" s="59">
        <v>1</v>
      </c>
      <c r="AF43" s="59">
        <v>1</v>
      </c>
      <c r="AG43" s="59">
        <v>1</v>
      </c>
      <c r="AH43" s="59">
        <v>1</v>
      </c>
      <c r="AI43" s="59">
        <v>1</v>
      </c>
      <c r="AJ43" s="59"/>
      <c r="AK43" s="59"/>
      <c r="AL43" s="59"/>
      <c r="AM43" s="16"/>
      <c r="AN43" s="16"/>
      <c r="AO43" s="13"/>
      <c r="AP43" s="31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>
        <v>1</v>
      </c>
      <c r="BB43" s="16">
        <v>1</v>
      </c>
      <c r="BC43" s="16">
        <v>1</v>
      </c>
      <c r="BD43" s="16"/>
      <c r="BE43" s="16"/>
      <c r="BF43" s="16"/>
      <c r="BG43" s="16"/>
      <c r="BH43" s="16"/>
      <c r="BI43" s="16"/>
      <c r="BJ43" s="16"/>
      <c r="BK43" s="42"/>
      <c r="BM43" s="24">
        <f>IFERROR(COUNTA(L43:BK43)/COUNTA(L43:BK43),"")</f>
        <v>1</v>
      </c>
    </row>
    <row r="44" spans="2:65" s="4" customFormat="1" ht="24" hidden="1" customHeight="1" x14ac:dyDescent="0.25">
      <c r="B44" s="75"/>
      <c r="C44" s="79"/>
      <c r="D44" s="79"/>
      <c r="E44" s="79"/>
      <c r="F44" s="79"/>
      <c r="G44" s="73"/>
      <c r="H44" s="73"/>
      <c r="I44" s="77"/>
      <c r="J44" s="73"/>
      <c r="K44" s="73"/>
      <c r="L44" s="14"/>
      <c r="M44" s="15"/>
      <c r="N44" s="15"/>
      <c r="O44" s="15"/>
      <c r="P44" s="15"/>
      <c r="Q44" s="15"/>
      <c r="R44" s="30"/>
      <c r="S44" s="15"/>
      <c r="T44" s="15"/>
      <c r="U44" s="15"/>
      <c r="V44" s="15"/>
      <c r="W44" s="15"/>
      <c r="X44" s="30"/>
      <c r="Y44" s="15"/>
      <c r="Z44" s="15"/>
      <c r="AA44" s="15"/>
      <c r="AB44" s="15"/>
      <c r="AC44" s="15"/>
      <c r="AD44" s="30"/>
      <c r="AE44" s="15"/>
      <c r="AF44" s="15"/>
      <c r="AG44" s="15"/>
      <c r="AH44" s="15"/>
      <c r="AI44" s="15"/>
      <c r="AJ44" s="17"/>
      <c r="AK44" s="17"/>
      <c r="AL44" s="17"/>
      <c r="AM44" s="17"/>
      <c r="AN44" s="17"/>
      <c r="AO44" s="15"/>
      <c r="AP44" s="32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43"/>
      <c r="BM44" s="28">
        <f>IFERROR(COUNTIF(L44:BK44,2)/COUNTIF(L43:BK43,1),"")</f>
        <v>0</v>
      </c>
    </row>
    <row r="45" spans="2:65" s="4" customFormat="1" ht="24" customHeight="1" x14ac:dyDescent="0.25">
      <c r="B45" s="74">
        <v>9</v>
      </c>
      <c r="C45" s="78" t="s">
        <v>132</v>
      </c>
      <c r="D45" s="78" t="s">
        <v>230</v>
      </c>
      <c r="E45" s="78" t="s">
        <v>76</v>
      </c>
      <c r="F45" s="78" t="s">
        <v>184</v>
      </c>
      <c r="G45" s="83" t="s">
        <v>68</v>
      </c>
      <c r="H45" s="83" t="s">
        <v>79</v>
      </c>
      <c r="I45" s="76" t="str">
        <f t="shared" si="1"/>
        <v>Por Ejecutar</v>
      </c>
      <c r="J45" s="72">
        <f>IF(L45&gt;0,$L$27,IF(M45&gt;0,$M$27,IF(N45&gt;0,$N$27,IF(O45&gt;0,$O$27,IF(P45&gt;0,$P$27,IF(Q45&gt;0,$Q$27,IF(R45&gt;0,$R$27,IF(S45&gt;0,$S$27,IF(T45&gt;0,$T$27,IF(U45&gt;0,$U$27,IF(V45&gt;0,$V$27,IF(W45&gt;0,$W$27,IF(X45&gt;0,$X$27,IF(Y45&gt;0,$Y$27,IF(Z45&gt;0,$Z$27,IF(AA45&gt;0,$AA$27,IF(AB45&gt;0,$AB$27,IF(AC45&gt;0,$AC$27,IF(AD45&gt;0,$AD$27,IF(AE45&gt;0,$AE$27,IF(AF45&gt;0,$AF$27,IF(AG45&gt;0,$AG$27,IF(AH45&gt;0,$AH$27,IF(AI45&gt;0,$AI$27,IF(AJ45&gt;0,$AJ$27,IF(AK45&gt;0,$AK$27,IF(AL45&gt;0,$AL$27,IF(AM45&gt;0,$AM$27,IF(AN45&gt;0,$AN$27,IF(AO45&gt;0,$AO$27,IF(AP45&gt;0,$AP$27,IF(AQ45&gt;0,$AQ$27,IF(AR45&gt;0,$AR$27,IF(AS45&gt;0,$AS$27,IF(AT45&gt;0,$AT$27,IF(AU45&gt;0,$AU$27,IF(AV45&gt;0,$AV$27,IF(AW45&gt;0,$AW$27,IF(AX45&gt;0,$AX$27,IF(AY45&gt;0,$AY$27,IF(AZ45&gt;0,$AZ$27,IF(BA45&gt;0,$BA$27,IF(BB45&gt;0,$BB$27,IF(BC45&gt;0,$BC$27,IF(BD45&gt;0,$BD$27,IF(BE45&gt;0,$BE$27,IF(BF45&gt;0,$BF$27,IF(BG45&gt;0,$BG$27,IF(BH45&gt;0,$BH$27,IF(BI45&gt;0,$BI$27,IF(BJ45&gt;0,$BJ$27,IF(BK45&gt;0,$BK$27,))))))))))))))))))))))))))))))))))))))))))))))))))))</f>
        <v>45782</v>
      </c>
      <c r="K45" s="83" t="s">
        <v>90</v>
      </c>
      <c r="L45" s="12"/>
      <c r="M45" s="13"/>
      <c r="N45" s="13"/>
      <c r="O45" s="13"/>
      <c r="P45" s="13"/>
      <c r="Q45" s="13"/>
      <c r="R45" s="29"/>
      <c r="S45" s="13"/>
      <c r="T45" s="13"/>
      <c r="U45" s="13"/>
      <c r="V45" s="13"/>
      <c r="W45" s="13"/>
      <c r="X45" s="29"/>
      <c r="Y45" s="13"/>
      <c r="Z45" s="13"/>
      <c r="AA45" s="13"/>
      <c r="AB45" s="13"/>
      <c r="AC45" s="13"/>
      <c r="AD45" s="59">
        <v>1</v>
      </c>
      <c r="AE45" s="59">
        <v>1</v>
      </c>
      <c r="AF45" s="59">
        <v>1</v>
      </c>
      <c r="AG45" s="59">
        <v>1</v>
      </c>
      <c r="AH45" s="59">
        <v>1</v>
      </c>
      <c r="AI45" s="59">
        <v>1</v>
      </c>
      <c r="AJ45" s="59"/>
      <c r="AK45" s="59"/>
      <c r="AL45" s="59"/>
      <c r="AM45" s="16"/>
      <c r="AN45" s="16"/>
      <c r="AO45" s="13"/>
      <c r="AP45" s="31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>
        <v>1</v>
      </c>
      <c r="BB45" s="16">
        <v>1</v>
      </c>
      <c r="BC45" s="16">
        <v>1</v>
      </c>
      <c r="BD45" s="16"/>
      <c r="BE45" s="16"/>
      <c r="BF45" s="16"/>
      <c r="BG45" s="16"/>
      <c r="BH45" s="16"/>
      <c r="BI45" s="16"/>
      <c r="BJ45" s="16"/>
      <c r="BK45" s="42"/>
      <c r="BM45" s="24">
        <f>IFERROR(COUNTA(L45:BK45)/COUNTA(L45:BK45),"")</f>
        <v>1</v>
      </c>
    </row>
    <row r="46" spans="2:65" s="4" customFormat="1" ht="24" hidden="1" customHeight="1" x14ac:dyDescent="0.25">
      <c r="B46" s="75"/>
      <c r="C46" s="79"/>
      <c r="D46" s="79"/>
      <c r="E46" s="79"/>
      <c r="F46" s="79"/>
      <c r="G46" s="73"/>
      <c r="H46" s="73"/>
      <c r="I46" s="77"/>
      <c r="J46" s="73"/>
      <c r="K46" s="73"/>
      <c r="L46" s="14"/>
      <c r="M46" s="15"/>
      <c r="N46" s="15"/>
      <c r="O46" s="15"/>
      <c r="P46" s="15"/>
      <c r="Q46" s="15"/>
      <c r="R46" s="30"/>
      <c r="S46" s="15"/>
      <c r="T46" s="15"/>
      <c r="U46" s="15"/>
      <c r="V46" s="15"/>
      <c r="W46" s="15"/>
      <c r="X46" s="30"/>
      <c r="Y46" s="15"/>
      <c r="Z46" s="15"/>
      <c r="AA46" s="15"/>
      <c r="AB46" s="15"/>
      <c r="AC46" s="15"/>
      <c r="AD46" s="30"/>
      <c r="AE46" s="15"/>
      <c r="AF46" s="15"/>
      <c r="AG46" s="15"/>
      <c r="AH46" s="15"/>
      <c r="AI46" s="15"/>
      <c r="AJ46" s="17"/>
      <c r="AK46" s="17"/>
      <c r="AL46" s="17"/>
      <c r="AM46" s="17"/>
      <c r="AN46" s="17"/>
      <c r="AO46" s="15"/>
      <c r="AP46" s="32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43"/>
      <c r="BM46" s="28">
        <f>IFERROR(COUNTIF(L46:BK46,2)/COUNTIF(L45:BK45,1),"")</f>
        <v>0</v>
      </c>
    </row>
    <row r="47" spans="2:65" s="4" customFormat="1" ht="24" customHeight="1" x14ac:dyDescent="0.25">
      <c r="B47" s="74">
        <v>10</v>
      </c>
      <c r="C47" s="78" t="s">
        <v>132</v>
      </c>
      <c r="D47" s="78" t="s">
        <v>165</v>
      </c>
      <c r="E47" s="78" t="s">
        <v>76</v>
      </c>
      <c r="F47" s="78" t="s">
        <v>185</v>
      </c>
      <c r="G47" s="83" t="s">
        <v>67</v>
      </c>
      <c r="H47" s="83" t="s">
        <v>79</v>
      </c>
      <c r="I47" s="76" t="str">
        <f t="shared" si="1"/>
        <v>Por Ejecutar</v>
      </c>
      <c r="J47" s="72">
        <f>IF(L47&gt;0,$L$27,IF(M47&gt;0,$M$27,IF(N47&gt;0,$N$27,IF(O47&gt;0,$O$27,IF(P47&gt;0,$P$27,IF(Q47&gt;0,$Q$27,IF(R47&gt;0,$R$27,IF(S47&gt;0,$S$27,IF(T47&gt;0,$T$27,IF(U47&gt;0,$U$27,IF(V47&gt;0,$V$27,IF(W47&gt;0,$W$27,IF(X47&gt;0,$X$27,IF(Y47&gt;0,$Y$27,IF(Z47&gt;0,$Z$27,IF(AA47&gt;0,$AA$27,IF(AB47&gt;0,$AB$27,IF(AC47&gt;0,$AC$27,IF(AD47&gt;0,$AD$27,IF(AE47&gt;0,$AE$27,IF(AF47&gt;0,$AF$27,IF(AG47&gt;0,$AG$27,IF(AH47&gt;0,$AH$27,IF(AI47&gt;0,$AI$27,IF(AJ47&gt;0,$AJ$27,IF(AK47&gt;0,$AK$27,IF(AL47&gt;0,$AL$27,IF(AM47&gt;0,$AM$27,IF(AN47&gt;0,$AN$27,IF(AO47&gt;0,$AO$27,IF(AP47&gt;0,$AP$27,IF(AQ47&gt;0,$AQ$27,IF(AR47&gt;0,$AR$27,IF(AS47&gt;0,$AS$27,IF(AT47&gt;0,$AT$27,IF(AU47&gt;0,$AU$27,IF(AV47&gt;0,$AV$27,IF(AW47&gt;0,$AW$27,IF(AX47&gt;0,$AX$27,IF(AY47&gt;0,$AY$27,IF(AZ47&gt;0,$AZ$27,IF(BA47&gt;0,$BA$27,IF(BB47&gt;0,$BB$27,IF(BC47&gt;0,$BC$27,IF(BD47&gt;0,$BD$27,IF(BE47&gt;0,$BE$27,IF(BF47&gt;0,$BF$27,IF(BG47&gt;0,$BG$27,IF(BH47&gt;0,$BH$27,IF(BI47&gt;0,$BI$27,IF(BJ47&gt;0,$BJ$27,IF(BK47&gt;0,$BK$27,))))))))))))))))))))))))))))))))))))))))))))))))))))</f>
        <v>45782</v>
      </c>
      <c r="K47" s="83" t="s">
        <v>90</v>
      </c>
      <c r="L47" s="12"/>
      <c r="M47" s="13"/>
      <c r="N47" s="13"/>
      <c r="O47" s="13"/>
      <c r="P47" s="13"/>
      <c r="Q47" s="13"/>
      <c r="R47" s="29"/>
      <c r="S47" s="13"/>
      <c r="T47" s="13"/>
      <c r="U47" s="13"/>
      <c r="V47" s="13"/>
      <c r="W47" s="13"/>
      <c r="X47" s="29"/>
      <c r="Y47" s="13"/>
      <c r="Z47" s="13"/>
      <c r="AA47" s="13"/>
      <c r="AB47" s="13"/>
      <c r="AC47" s="13"/>
      <c r="AD47" s="59">
        <v>1</v>
      </c>
      <c r="AE47" s="59">
        <v>1</v>
      </c>
      <c r="AF47" s="59">
        <v>1</v>
      </c>
      <c r="AG47" s="59">
        <v>1</v>
      </c>
      <c r="AH47" s="59">
        <v>1</v>
      </c>
      <c r="AI47" s="59">
        <v>1</v>
      </c>
      <c r="AJ47" s="59"/>
      <c r="AK47" s="59"/>
      <c r="AL47" s="59"/>
      <c r="AM47" s="16"/>
      <c r="AN47" s="16"/>
      <c r="AO47" s="13"/>
      <c r="AP47" s="31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>
        <v>1</v>
      </c>
      <c r="BB47" s="16">
        <v>1</v>
      </c>
      <c r="BC47" s="16">
        <v>1</v>
      </c>
      <c r="BD47" s="16"/>
      <c r="BE47" s="16"/>
      <c r="BF47" s="16"/>
      <c r="BG47" s="16"/>
      <c r="BH47" s="16"/>
      <c r="BI47" s="16"/>
      <c r="BJ47" s="16"/>
      <c r="BK47" s="42"/>
      <c r="BM47" s="24">
        <f>IFERROR(COUNTA(L47:BK47)/COUNTA(L47:BK47),"")</f>
        <v>1</v>
      </c>
    </row>
    <row r="48" spans="2:65" s="4" customFormat="1" ht="24" hidden="1" customHeight="1" x14ac:dyDescent="0.25">
      <c r="B48" s="75"/>
      <c r="C48" s="79"/>
      <c r="D48" s="79"/>
      <c r="E48" s="79"/>
      <c r="F48" s="79"/>
      <c r="G48" s="73"/>
      <c r="H48" s="73"/>
      <c r="I48" s="77"/>
      <c r="J48" s="73"/>
      <c r="K48" s="73"/>
      <c r="L48" s="14"/>
      <c r="M48" s="15"/>
      <c r="N48" s="15"/>
      <c r="O48" s="15"/>
      <c r="P48" s="15"/>
      <c r="Q48" s="15"/>
      <c r="R48" s="30"/>
      <c r="S48" s="15"/>
      <c r="T48" s="15"/>
      <c r="U48" s="15"/>
      <c r="V48" s="15"/>
      <c r="W48" s="15"/>
      <c r="X48" s="30"/>
      <c r="Y48" s="15"/>
      <c r="Z48" s="15"/>
      <c r="AA48" s="15"/>
      <c r="AB48" s="15"/>
      <c r="AC48" s="15"/>
      <c r="AD48" s="30"/>
      <c r="AE48" s="15"/>
      <c r="AF48" s="15"/>
      <c r="AG48" s="15"/>
      <c r="AH48" s="15"/>
      <c r="AI48" s="15"/>
      <c r="AJ48" s="17"/>
      <c r="AK48" s="17"/>
      <c r="AL48" s="17"/>
      <c r="AM48" s="17"/>
      <c r="AN48" s="17"/>
      <c r="AO48" s="15"/>
      <c r="AP48" s="32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43"/>
      <c r="BM48" s="28">
        <f>IFERROR(COUNTIF(L48:BK48,2)/COUNTIF(L47:BK47,1),"")</f>
        <v>0</v>
      </c>
    </row>
    <row r="49" spans="2:65" s="4" customFormat="1" ht="24" customHeight="1" x14ac:dyDescent="0.25">
      <c r="B49" s="74">
        <v>11</v>
      </c>
      <c r="C49" s="78" t="s">
        <v>132</v>
      </c>
      <c r="D49" s="78" t="s">
        <v>133</v>
      </c>
      <c r="E49" s="78" t="s">
        <v>76</v>
      </c>
      <c r="F49" s="78" t="s">
        <v>186</v>
      </c>
      <c r="G49" s="83" t="s">
        <v>67</v>
      </c>
      <c r="H49" s="83" t="s">
        <v>79</v>
      </c>
      <c r="I49" s="76" t="str">
        <f t="shared" si="1"/>
        <v>Por Ejecutar</v>
      </c>
      <c r="J49" s="72">
        <f>IF(L49&gt;0,$L$27,IF(M49&gt;0,$M$27,IF(N49&gt;0,$N$27,IF(O49&gt;0,$O$27,IF(P49&gt;0,$P$27,IF(Q49&gt;0,$Q$27,IF(R49&gt;0,$R$27,IF(S49&gt;0,$S$27,IF(T49&gt;0,$T$27,IF(U49&gt;0,$U$27,IF(V49&gt;0,$V$27,IF(W49&gt;0,$W$27,IF(X49&gt;0,$X$27,IF(Y49&gt;0,$Y$27,IF(Z49&gt;0,$Z$27,IF(AA49&gt;0,$AA$27,IF(AB49&gt;0,$AB$27,IF(AC49&gt;0,$AC$27,IF(AD49&gt;0,$AD$27,IF(AE49&gt;0,$AE$27,IF(AF49&gt;0,$AF$27,IF(AG49&gt;0,$AG$27,IF(AH49&gt;0,$AH$27,IF(AI49&gt;0,$AI$27,IF(AJ49&gt;0,$AJ$27,IF(AK49&gt;0,$AK$27,IF(AL49&gt;0,$AL$27,IF(AM49&gt;0,$AM$27,IF(AN49&gt;0,$AN$27,IF(AO49&gt;0,$AO$27,IF(AP49&gt;0,$AP$27,IF(AQ49&gt;0,$AQ$27,IF(AR49&gt;0,$AR$27,IF(AS49&gt;0,$AS$27,IF(AT49&gt;0,$AT$27,IF(AU49&gt;0,$AU$27,IF(AV49&gt;0,$AV$27,IF(AW49&gt;0,$AW$27,IF(AX49&gt;0,$AX$27,IF(AY49&gt;0,$AY$27,IF(AZ49&gt;0,$AZ$27,IF(BA49&gt;0,$BA$27,IF(BB49&gt;0,$BB$27,IF(BC49&gt;0,$BC$27,IF(BD49&gt;0,$BD$27,IF(BE49&gt;0,$BE$27,IF(BF49&gt;0,$BF$27,IF(BG49&gt;0,$BG$27,IF(BH49&gt;0,$BH$27,IF(BI49&gt;0,$BI$27,IF(BJ49&gt;0,$BJ$27,IF(BK49&gt;0,$BK$27,))))))))))))))))))))))))))))))))))))))))))))))))))))</f>
        <v>45782</v>
      </c>
      <c r="K49" s="83" t="s">
        <v>90</v>
      </c>
      <c r="L49" s="12"/>
      <c r="M49" s="13"/>
      <c r="N49" s="13"/>
      <c r="O49" s="13"/>
      <c r="P49" s="13"/>
      <c r="Q49" s="13"/>
      <c r="R49" s="29"/>
      <c r="S49" s="13"/>
      <c r="T49" s="13"/>
      <c r="U49" s="13"/>
      <c r="V49" s="13"/>
      <c r="W49" s="13"/>
      <c r="X49" s="29"/>
      <c r="Y49" s="13"/>
      <c r="Z49" s="13"/>
      <c r="AA49" s="13"/>
      <c r="AB49" s="13"/>
      <c r="AC49" s="13"/>
      <c r="AD49" s="59">
        <v>1</v>
      </c>
      <c r="AE49" s="59">
        <v>1</v>
      </c>
      <c r="AF49" s="59">
        <v>1</v>
      </c>
      <c r="AG49" s="59">
        <v>1</v>
      </c>
      <c r="AH49" s="59">
        <v>1</v>
      </c>
      <c r="AI49" s="59">
        <v>1</v>
      </c>
      <c r="AJ49" s="59"/>
      <c r="AK49" s="59"/>
      <c r="AL49" s="59"/>
      <c r="AM49" s="16"/>
      <c r="AN49" s="16"/>
      <c r="AO49" s="13"/>
      <c r="AP49" s="31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>
        <v>1</v>
      </c>
      <c r="BB49" s="16">
        <v>1</v>
      </c>
      <c r="BC49" s="16">
        <v>1</v>
      </c>
      <c r="BD49" s="16"/>
      <c r="BE49" s="16"/>
      <c r="BF49" s="16"/>
      <c r="BG49" s="16"/>
      <c r="BH49" s="16"/>
      <c r="BI49" s="16"/>
      <c r="BJ49" s="16"/>
      <c r="BK49" s="42"/>
      <c r="BM49" s="24">
        <f>IFERROR(COUNTA(L49:BK49)/COUNTA(L49:BK49),"")</f>
        <v>1</v>
      </c>
    </row>
    <row r="50" spans="2:65" s="4" customFormat="1" ht="24" hidden="1" customHeight="1" x14ac:dyDescent="0.25">
      <c r="B50" s="75"/>
      <c r="C50" s="79"/>
      <c r="D50" s="79"/>
      <c r="E50" s="79"/>
      <c r="F50" s="79"/>
      <c r="G50" s="73"/>
      <c r="H50" s="73"/>
      <c r="I50" s="77"/>
      <c r="J50" s="73"/>
      <c r="K50" s="73"/>
      <c r="L50" s="14"/>
      <c r="M50" s="15"/>
      <c r="N50" s="15"/>
      <c r="O50" s="15"/>
      <c r="P50" s="15"/>
      <c r="Q50" s="15"/>
      <c r="R50" s="30"/>
      <c r="S50" s="15"/>
      <c r="T50" s="15"/>
      <c r="U50" s="15"/>
      <c r="V50" s="15"/>
      <c r="W50" s="15"/>
      <c r="X50" s="30"/>
      <c r="Y50" s="15"/>
      <c r="Z50" s="15"/>
      <c r="AA50" s="15"/>
      <c r="AB50" s="15"/>
      <c r="AC50" s="15"/>
      <c r="AD50" s="30"/>
      <c r="AE50" s="15"/>
      <c r="AF50" s="15"/>
      <c r="AG50" s="15"/>
      <c r="AH50" s="15"/>
      <c r="AI50" s="15"/>
      <c r="AJ50" s="17"/>
      <c r="AK50" s="17"/>
      <c r="AL50" s="17"/>
      <c r="AM50" s="17"/>
      <c r="AN50" s="17"/>
      <c r="AO50" s="15"/>
      <c r="AP50" s="32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43"/>
      <c r="BM50" s="28">
        <f>IFERROR(COUNTIF(L50:BK50,2)/COUNTIF(L49:BK49,1),"")</f>
        <v>0</v>
      </c>
    </row>
    <row r="51" spans="2:65" s="4" customFormat="1" ht="24" customHeight="1" x14ac:dyDescent="0.25">
      <c r="B51" s="74">
        <v>12</v>
      </c>
      <c r="C51" s="78" t="s">
        <v>132</v>
      </c>
      <c r="D51" s="78" t="s">
        <v>197</v>
      </c>
      <c r="E51" s="78" t="s">
        <v>76</v>
      </c>
      <c r="F51" s="78" t="s">
        <v>187</v>
      </c>
      <c r="G51" s="83" t="s">
        <v>67</v>
      </c>
      <c r="H51" s="83" t="s">
        <v>79</v>
      </c>
      <c r="I51" s="76" t="str">
        <f>+IF(BM52=100%,"Terminado",IF(BM52=0%,"Por Ejecutar",IF(BM52="","","En Proceso")))</f>
        <v>Por Ejecutar</v>
      </c>
      <c r="J51" s="72">
        <f>IF(L51&gt;0,$L$27,IF(M51&gt;0,$M$27,IF(N51&gt;0,$N$27,IF(O51&gt;0,$O$27,IF(P51&gt;0,$P$27,IF(Q51&gt;0,$Q$27,IF(R51&gt;0,$R$27,IF(S51&gt;0,$S$27,IF(T51&gt;0,$T$27,IF(U51&gt;0,$U$27,IF(V51&gt;0,$V$27,IF(W51&gt;0,$W$27,IF(X51&gt;0,$X$27,IF(Y51&gt;0,$Y$27,IF(Z51&gt;0,$Z$27,IF(AA51&gt;0,$AA$27,IF(AB51&gt;0,$AB$27,IF(AC51&gt;0,$AC$27,IF(AD51&gt;0,$AD$27,IF(AE51&gt;0,$AE$27,IF(AF51&gt;0,$AF$27,IF(AG51&gt;0,$AG$27,IF(AH51&gt;0,$AH$27,IF(AI51&gt;0,$AI$27,IF(AJ51&gt;0,$AJ$27,IF(AK51&gt;0,$AK$27,IF(AL51&gt;0,$AL$27,IF(AM51&gt;0,$AM$27,IF(AN51&gt;0,$AN$27,IF(AO51&gt;0,$AO$27,IF(AP51&gt;0,$AP$27,IF(AQ51&gt;0,$AQ$27,IF(AR51&gt;0,$AR$27,IF(AS51&gt;0,$AS$27,IF(AT51&gt;0,$AT$27,IF(AU51&gt;0,$AU$27,IF(AV51&gt;0,$AV$27,IF(AW51&gt;0,$AW$27,IF(AX51&gt;0,$AX$27,IF(AY51&gt;0,$AY$27,IF(AZ51&gt;0,$AZ$27,IF(BA51&gt;0,$BA$27,IF(BB51&gt;0,$BB$27,IF(BC51&gt;0,$BC$27,IF(BD51&gt;0,$BD$27,IF(BE51&gt;0,$BE$27,IF(BF51&gt;0,$BF$27,IF(BG51&gt;0,$BG$27,IF(BH51&gt;0,$BH$27,IF(BI51&gt;0,$BI$27,IF(BJ51&gt;0,$BJ$27,IF(BK51&gt;0,$BK$27,))))))))))))))))))))))))))))))))))))))))))))))))))))</f>
        <v>45782</v>
      </c>
      <c r="K51" s="83" t="s">
        <v>90</v>
      </c>
      <c r="L51" s="12"/>
      <c r="M51" s="13"/>
      <c r="N51" s="13"/>
      <c r="O51" s="13"/>
      <c r="P51" s="13"/>
      <c r="Q51" s="13"/>
      <c r="R51" s="29"/>
      <c r="S51" s="13"/>
      <c r="T51" s="13"/>
      <c r="U51" s="13"/>
      <c r="V51" s="13"/>
      <c r="W51" s="13"/>
      <c r="X51" s="29"/>
      <c r="Y51" s="13"/>
      <c r="Z51" s="13"/>
      <c r="AA51" s="13"/>
      <c r="AB51" s="13"/>
      <c r="AC51" s="13"/>
      <c r="AD51" s="59">
        <v>1</v>
      </c>
      <c r="AE51" s="59">
        <v>1</v>
      </c>
      <c r="AF51" s="59">
        <v>1</v>
      </c>
      <c r="AG51" s="59">
        <v>1</v>
      </c>
      <c r="AH51" s="59">
        <v>1</v>
      </c>
      <c r="AI51" s="59">
        <v>1</v>
      </c>
      <c r="AJ51" s="59"/>
      <c r="AK51" s="59"/>
      <c r="AL51" s="59"/>
      <c r="AM51" s="16"/>
      <c r="AN51" s="16"/>
      <c r="AO51" s="13"/>
      <c r="AP51" s="31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>
        <v>1</v>
      </c>
      <c r="BB51" s="16">
        <v>1</v>
      </c>
      <c r="BC51" s="16">
        <v>1</v>
      </c>
      <c r="BD51" s="16"/>
      <c r="BE51" s="16"/>
      <c r="BF51" s="16"/>
      <c r="BG51" s="16"/>
      <c r="BH51" s="16"/>
      <c r="BI51" s="16"/>
      <c r="BJ51" s="16"/>
      <c r="BK51" s="42"/>
      <c r="BM51" s="24">
        <f>IFERROR(COUNTA(L51:BK51)/COUNTA(L51:BK51),"")</f>
        <v>1</v>
      </c>
    </row>
    <row r="52" spans="2:65" s="4" customFormat="1" ht="24" hidden="1" customHeight="1" x14ac:dyDescent="0.25">
      <c r="B52" s="75"/>
      <c r="C52" s="79"/>
      <c r="D52" s="79"/>
      <c r="E52" s="79"/>
      <c r="F52" s="79"/>
      <c r="G52" s="73"/>
      <c r="H52" s="73"/>
      <c r="I52" s="77"/>
      <c r="J52" s="73"/>
      <c r="K52" s="73"/>
      <c r="L52" s="14"/>
      <c r="M52" s="15"/>
      <c r="N52" s="15"/>
      <c r="O52" s="15"/>
      <c r="P52" s="15"/>
      <c r="Q52" s="15"/>
      <c r="R52" s="30"/>
      <c r="S52" s="15"/>
      <c r="T52" s="15"/>
      <c r="U52" s="15"/>
      <c r="V52" s="15"/>
      <c r="W52" s="15"/>
      <c r="X52" s="30"/>
      <c r="Y52" s="15"/>
      <c r="Z52" s="15"/>
      <c r="AA52" s="15"/>
      <c r="AB52" s="15"/>
      <c r="AC52" s="15"/>
      <c r="AD52" s="30"/>
      <c r="AE52" s="15"/>
      <c r="AF52" s="15"/>
      <c r="AG52" s="15"/>
      <c r="AH52" s="15"/>
      <c r="AI52" s="15"/>
      <c r="AJ52" s="17"/>
      <c r="AK52" s="17"/>
      <c r="AL52" s="17"/>
      <c r="AM52" s="17"/>
      <c r="AN52" s="17"/>
      <c r="AO52" s="15"/>
      <c r="AP52" s="32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43"/>
      <c r="BM52" s="28">
        <f>IFERROR(COUNTIF(L52:BK52,2)/COUNTIF(L51:BK51,1),"")</f>
        <v>0</v>
      </c>
    </row>
    <row r="53" spans="2:65" s="4" customFormat="1" ht="24" customHeight="1" x14ac:dyDescent="0.25">
      <c r="B53" s="74">
        <v>13</v>
      </c>
      <c r="C53" s="78" t="s">
        <v>132</v>
      </c>
      <c r="D53" s="78" t="s">
        <v>165</v>
      </c>
      <c r="E53" s="78" t="s">
        <v>76</v>
      </c>
      <c r="F53" s="82" t="s">
        <v>162</v>
      </c>
      <c r="G53" s="83" t="s">
        <v>67</v>
      </c>
      <c r="H53" s="83" t="s">
        <v>79</v>
      </c>
      <c r="I53" s="76" t="str">
        <f>+IF(BM54=100%,"Terminado",IF(BM54=0%,"Por Ejecutar",IF(BM54="","","En Proceso")))</f>
        <v>Por Ejecutar</v>
      </c>
      <c r="J53" s="72">
        <f>IF(L53&gt;0,$L$27,IF(M53&gt;0,$M$27,IF(N53&gt;0,$N$27,IF(O53&gt;0,$O$27,IF(P53&gt;0,$P$27,IF(Q53&gt;0,$Q$27,IF(R53&gt;0,$R$27,IF(S53&gt;0,$S$27,IF(T53&gt;0,$T$27,IF(U53&gt;0,$U$27,IF(V53&gt;0,$V$27,IF(W53&gt;0,$W$27,IF(X53&gt;0,$X$27,IF(Y53&gt;0,$Y$27,IF(Z53&gt;0,$Z$27,IF(AA53&gt;0,$AA$27,IF(AB53&gt;0,$AB$27,IF(AC53&gt;0,$AC$27,IF(AD53&gt;0,$AD$27,IF(AE53&gt;0,$AE$27,IF(AF53&gt;0,$AF$27,IF(AG53&gt;0,$AG$27,IF(AH53&gt;0,$AH$27,IF(AI53&gt;0,$AI$27,IF(AJ53&gt;0,$AJ$27,IF(AK53&gt;0,$AK$27,IF(AL53&gt;0,$AL$27,IF(AM53&gt;0,$AM$27,IF(AN53&gt;0,$AN$27,IF(AO53&gt;0,$AO$27,IF(AP53&gt;0,$AP$27,IF(AQ53&gt;0,$AQ$27,IF(AR53&gt;0,$AR$27,IF(AS53&gt;0,$AS$27,IF(AT53&gt;0,$AT$27,IF(AU53&gt;0,$AU$27,IF(AV53&gt;0,$AV$27,IF(AW53&gt;0,$AW$27,IF(AX53&gt;0,$AX$27,IF(AY53&gt;0,$AY$27,IF(AZ53&gt;0,$AZ$27,IF(BA53&gt;0,$BA$27,IF(BB53&gt;0,$BB$27,IF(BC53&gt;0,$BC$27,IF(BD53&gt;0,$BD$27,IF(BE53&gt;0,$BE$27,IF(BF53&gt;0,$BF$27,IF(BG53&gt;0,$BG$27,IF(BH53&gt;0,$BH$27,IF(BI53&gt;0,$BI$27,IF(BJ53&gt;0,$BJ$27,IF(BK53&gt;0,$BK$27,))))))))))))))))))))))))))))))))))))))))))))))))))))</f>
        <v>45782</v>
      </c>
      <c r="K53" s="83" t="s">
        <v>90</v>
      </c>
      <c r="L53" s="12"/>
      <c r="M53" s="13"/>
      <c r="N53" s="13"/>
      <c r="O53" s="13"/>
      <c r="P53" s="13"/>
      <c r="Q53" s="13"/>
      <c r="R53" s="29"/>
      <c r="S53" s="13"/>
      <c r="T53" s="13"/>
      <c r="U53" s="13"/>
      <c r="V53" s="13"/>
      <c r="W53" s="13"/>
      <c r="X53" s="29"/>
      <c r="Y53" s="13"/>
      <c r="Z53" s="13"/>
      <c r="AA53" s="13"/>
      <c r="AB53" s="13"/>
      <c r="AC53" s="13"/>
      <c r="AD53" s="59">
        <v>1</v>
      </c>
      <c r="AE53" s="59">
        <v>1</v>
      </c>
      <c r="AF53" s="59">
        <v>1</v>
      </c>
      <c r="AG53" s="59">
        <v>1</v>
      </c>
      <c r="AH53" s="59">
        <v>1</v>
      </c>
      <c r="AI53" s="59">
        <v>1</v>
      </c>
      <c r="AJ53" s="59"/>
      <c r="AK53" s="59"/>
      <c r="AL53" s="59"/>
      <c r="AM53" s="16"/>
      <c r="AN53" s="16"/>
      <c r="AO53" s="13"/>
      <c r="AP53" s="31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>
        <v>1</v>
      </c>
      <c r="BB53" s="16">
        <v>1</v>
      </c>
      <c r="BC53" s="16">
        <v>1</v>
      </c>
      <c r="BD53" s="16"/>
      <c r="BE53" s="16"/>
      <c r="BF53" s="16"/>
      <c r="BG53" s="16"/>
      <c r="BH53" s="16"/>
      <c r="BI53" s="16"/>
      <c r="BJ53" s="16"/>
      <c r="BK53" s="42"/>
      <c r="BM53" s="24">
        <f>IFERROR(COUNTA(L53:BK53)/COUNTA(L53:BK53),"")</f>
        <v>1</v>
      </c>
    </row>
    <row r="54" spans="2:65" s="4" customFormat="1" ht="24" hidden="1" customHeight="1" x14ac:dyDescent="0.25">
      <c r="B54" s="75"/>
      <c r="C54" s="79"/>
      <c r="D54" s="79"/>
      <c r="E54" s="79"/>
      <c r="F54" s="82"/>
      <c r="G54" s="73"/>
      <c r="H54" s="73"/>
      <c r="I54" s="77"/>
      <c r="J54" s="73"/>
      <c r="K54" s="73"/>
      <c r="L54" s="14"/>
      <c r="M54" s="15"/>
      <c r="N54" s="15"/>
      <c r="O54" s="15"/>
      <c r="P54" s="15"/>
      <c r="Q54" s="15"/>
      <c r="R54" s="30"/>
      <c r="S54" s="15"/>
      <c r="T54" s="15"/>
      <c r="U54" s="15"/>
      <c r="V54" s="15"/>
      <c r="W54" s="15"/>
      <c r="X54" s="30"/>
      <c r="Y54" s="15"/>
      <c r="Z54" s="15"/>
      <c r="AA54" s="15"/>
      <c r="AB54" s="15"/>
      <c r="AC54" s="15"/>
      <c r="AD54" s="30"/>
      <c r="AE54" s="15"/>
      <c r="AF54" s="15"/>
      <c r="AG54" s="15"/>
      <c r="AH54" s="15"/>
      <c r="AI54" s="15"/>
      <c r="AJ54" s="17"/>
      <c r="AK54" s="17"/>
      <c r="AL54" s="17"/>
      <c r="AM54" s="17"/>
      <c r="AN54" s="17"/>
      <c r="AO54" s="15"/>
      <c r="AP54" s="32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43"/>
      <c r="BM54" s="28">
        <f>IFERROR(COUNTIF(L54:BK54,2)/COUNTIF(L53:BK53,1),"")</f>
        <v>0</v>
      </c>
    </row>
    <row r="55" spans="2:65" s="4" customFormat="1" ht="24" customHeight="1" x14ac:dyDescent="0.25">
      <c r="B55" s="74">
        <v>14</v>
      </c>
      <c r="C55" s="78" t="s">
        <v>132</v>
      </c>
      <c r="D55" s="78" t="s">
        <v>81</v>
      </c>
      <c r="E55" s="78" t="s">
        <v>76</v>
      </c>
      <c r="F55" s="82" t="s">
        <v>188</v>
      </c>
      <c r="G55" s="83" t="s">
        <v>67</v>
      </c>
      <c r="H55" s="83" t="s">
        <v>79</v>
      </c>
      <c r="I55" s="76" t="str">
        <f>+IF(BM56=100%,"Terminado",IF(BM56=0%,"Por Ejecutar",IF(BM56="","","En Proceso")))</f>
        <v>Por Ejecutar</v>
      </c>
      <c r="J55" s="72">
        <f>IF(L55&gt;0,$L$27,IF(M55&gt;0,$M$27,IF(N55&gt;0,$N$27,IF(O55&gt;0,$O$27,IF(P55&gt;0,$P$27,IF(Q55&gt;0,$Q$27,IF(R55&gt;0,$R$27,IF(S55&gt;0,$S$27,IF(T55&gt;0,$T$27,IF(U55&gt;0,$U$27,IF(V55&gt;0,$V$27,IF(W55&gt;0,$W$27,IF(X55&gt;0,$X$27,IF(Y55&gt;0,$Y$27,IF(Z55&gt;0,$Z$27,IF(AA55&gt;0,$AA$27,IF(AB55&gt;0,$AB$27,IF(AC55&gt;0,$AC$27,IF(AD55&gt;0,$AD$27,IF(AE55&gt;0,$AE$27,IF(AF55&gt;0,$AF$27,IF(AG55&gt;0,$AG$27,IF(AH55&gt;0,$AH$27,IF(AI55&gt;0,$AI$27,IF(AJ55&gt;0,$AJ$27,IF(AK55&gt;0,$AK$27,IF(AL55&gt;0,$AL$27,IF(AM55&gt;0,$AM$27,IF(AN55&gt;0,$AN$27,IF(AO55&gt;0,$AO$27,IF(AP55&gt;0,$AP$27,IF(AQ55&gt;0,$AQ$27,IF(AR55&gt;0,$AR$27,IF(AS55&gt;0,$AS$27,IF(AT55&gt;0,$AT$27,IF(AU55&gt;0,$AU$27,IF(AV55&gt;0,$AV$27,IF(AW55&gt;0,$AW$27,IF(AX55&gt;0,$AX$27,IF(AY55&gt;0,$AY$27,IF(AZ55&gt;0,$AZ$27,IF(BA55&gt;0,$BA$27,IF(BB55&gt;0,$BB$27,IF(BC55&gt;0,$BC$27,IF(BD55&gt;0,$BD$27,IF(BE55&gt;0,$BE$27,IF(BF55&gt;0,$BF$27,IF(BG55&gt;0,$BG$27,IF(BH55&gt;0,$BH$27,IF(BI55&gt;0,$BI$27,IF(BJ55&gt;0,$BJ$27,IF(BK55&gt;0,$BK$27,))))))))))))))))))))))))))))))))))))))))))))))))))))</f>
        <v>45782</v>
      </c>
      <c r="K55" s="83" t="s">
        <v>90</v>
      </c>
      <c r="L55" s="12"/>
      <c r="M55" s="13"/>
      <c r="N55" s="13"/>
      <c r="O55" s="13"/>
      <c r="P55" s="13"/>
      <c r="Q55" s="13"/>
      <c r="R55" s="29"/>
      <c r="S55" s="13"/>
      <c r="T55" s="13"/>
      <c r="U55" s="13"/>
      <c r="V55" s="13"/>
      <c r="W55" s="13"/>
      <c r="X55" s="29"/>
      <c r="Y55" s="13"/>
      <c r="Z55" s="13"/>
      <c r="AA55" s="13"/>
      <c r="AB55" s="13"/>
      <c r="AC55" s="13"/>
      <c r="AD55" s="59">
        <v>1</v>
      </c>
      <c r="AE55" s="59">
        <v>1</v>
      </c>
      <c r="AF55" s="59">
        <v>1</v>
      </c>
      <c r="AG55" s="59">
        <v>1</v>
      </c>
      <c r="AH55" s="59">
        <v>1</v>
      </c>
      <c r="AI55" s="59">
        <v>1</v>
      </c>
      <c r="AJ55" s="59"/>
      <c r="AK55" s="59"/>
      <c r="AL55" s="59"/>
      <c r="AM55" s="16"/>
      <c r="AN55" s="16"/>
      <c r="AO55" s="13"/>
      <c r="AP55" s="31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>
        <v>1</v>
      </c>
      <c r="BB55" s="16">
        <v>1</v>
      </c>
      <c r="BC55" s="16">
        <v>1</v>
      </c>
      <c r="BD55" s="16"/>
      <c r="BE55" s="16"/>
      <c r="BF55" s="16"/>
      <c r="BG55" s="16"/>
      <c r="BH55" s="16"/>
      <c r="BI55" s="16"/>
      <c r="BJ55" s="16"/>
      <c r="BK55" s="42"/>
      <c r="BM55" s="24">
        <f>IFERROR(COUNTA(L55:BK55)/COUNTA(L55:BK55),"")</f>
        <v>1</v>
      </c>
    </row>
    <row r="56" spans="2:65" s="4" customFormat="1" ht="24" hidden="1" customHeight="1" x14ac:dyDescent="0.25">
      <c r="B56" s="75"/>
      <c r="C56" s="79"/>
      <c r="D56" s="79"/>
      <c r="E56" s="79"/>
      <c r="F56" s="82"/>
      <c r="G56" s="73"/>
      <c r="H56" s="73"/>
      <c r="I56" s="77"/>
      <c r="J56" s="155"/>
      <c r="K56" s="73"/>
      <c r="L56" s="14"/>
      <c r="M56" s="15"/>
      <c r="N56" s="15"/>
      <c r="O56" s="15"/>
      <c r="P56" s="15"/>
      <c r="Q56" s="15"/>
      <c r="R56" s="30"/>
      <c r="S56" s="15"/>
      <c r="T56" s="15"/>
      <c r="U56" s="15"/>
      <c r="V56" s="15"/>
      <c r="W56" s="15"/>
      <c r="X56" s="30"/>
      <c r="Y56" s="15"/>
      <c r="Z56" s="15"/>
      <c r="AA56" s="15"/>
      <c r="AB56" s="15"/>
      <c r="AC56" s="15"/>
      <c r="AD56" s="30"/>
      <c r="AE56" s="15"/>
      <c r="AF56" s="15"/>
      <c r="AG56" s="15"/>
      <c r="AH56" s="15"/>
      <c r="AI56" s="15"/>
      <c r="AJ56" s="17"/>
      <c r="AK56" s="17"/>
      <c r="AL56" s="17"/>
      <c r="AM56" s="17"/>
      <c r="AN56" s="17"/>
      <c r="AO56" s="15"/>
      <c r="AP56" s="32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43"/>
      <c r="BM56" s="28">
        <f>IFERROR(COUNTIF(L56:BK56,2)/COUNTIF(L55:BK55,1),"")</f>
        <v>0</v>
      </c>
    </row>
    <row r="57" spans="2:65" s="4" customFormat="1" ht="24" customHeight="1" x14ac:dyDescent="0.25">
      <c r="B57" s="74">
        <v>15</v>
      </c>
      <c r="C57" s="78" t="s">
        <v>132</v>
      </c>
      <c r="D57" s="78" t="s">
        <v>81</v>
      </c>
      <c r="E57" s="78" t="s">
        <v>76</v>
      </c>
      <c r="F57" s="82" t="s">
        <v>190</v>
      </c>
      <c r="G57" s="83" t="s">
        <v>67</v>
      </c>
      <c r="H57" s="83" t="s">
        <v>79</v>
      </c>
      <c r="I57" s="76" t="str">
        <f>+IF(BM58=100%,"Terminado",IF(BM58=0%,"Por Ejecutar",IF(BM58="","","En Proceso")))</f>
        <v>Por Ejecutar</v>
      </c>
      <c r="J57" s="72">
        <f>IF(L57&gt;0,$L$27,IF(M57&gt;0,$M$27,IF(N57&gt;0,$N$27,IF(O57&gt;0,$O$27,IF(P57&gt;0,$P$27,IF(Q57&gt;0,$Q$27,IF(R57&gt;0,$R$27,IF(S57&gt;0,$S$27,IF(T57&gt;0,$T$27,IF(U57&gt;0,$U$27,IF(V57&gt;0,$V$27,IF(W57&gt;0,$W$27,IF(X57&gt;0,$X$27,IF(Y57&gt;0,$Y$27,IF(Z57&gt;0,$Z$27,IF(AA57&gt;0,$AA$27,IF(AB57&gt;0,$AB$27,IF(AC57&gt;0,$AC$27,IF(AD57&gt;0,$AD$27,IF(AE57&gt;0,$AE$27,IF(AF57&gt;0,$AF$27,IF(AG57&gt;0,$AG$27,IF(AH57&gt;0,$AH$27,IF(AI57&gt;0,$AI$27,IF(AJ57&gt;0,$AJ$27,IF(AK57&gt;0,$AK$27,IF(AL57&gt;0,$AL$27,IF(AM57&gt;0,$AM$27,IF(AN57&gt;0,$AN$27,IF(AO57&gt;0,$AO$27,IF(AP57&gt;0,$AP$27,IF(AQ57&gt;0,$AQ$27,IF(AR57&gt;0,$AR$27,IF(AS57&gt;0,$AS$27,IF(AT57&gt;0,$AT$27,IF(AU57&gt;0,$AU$27,IF(AV57&gt;0,$AV$27,IF(AW57&gt;0,$AW$27,IF(AX57&gt;0,$AX$27,IF(AY57&gt;0,$AY$27,IF(AZ57&gt;0,$AZ$27,IF(BA57&gt;0,$BA$27,IF(BB57&gt;0,$BB$27,IF(BC57&gt;0,$BC$27,IF(BD57&gt;0,$BD$27,IF(BE57&gt;0,$BE$27,IF(BF57&gt;0,$BF$27,IF(BG57&gt;0,$BG$27,IF(BH57&gt;0,$BH$27,IF(BI57&gt;0,$BI$27,IF(BJ57&gt;0,$BJ$27,IF(BK57&gt;0,$BK$27,))))))))))))))))))))))))))))))))))))))))))))))))))))</f>
        <v>45782</v>
      </c>
      <c r="K57" s="83" t="s">
        <v>90</v>
      </c>
      <c r="L57" s="12"/>
      <c r="M57" s="13"/>
      <c r="N57" s="13"/>
      <c r="O57" s="13"/>
      <c r="P57" s="13"/>
      <c r="Q57" s="13"/>
      <c r="R57" s="29"/>
      <c r="S57" s="13"/>
      <c r="T57" s="13"/>
      <c r="U57" s="13"/>
      <c r="V57" s="13"/>
      <c r="W57" s="13"/>
      <c r="X57" s="29"/>
      <c r="Y57" s="13"/>
      <c r="Z57" s="13"/>
      <c r="AA57" s="13"/>
      <c r="AB57" s="13"/>
      <c r="AC57" s="13"/>
      <c r="AD57" s="59">
        <v>1</v>
      </c>
      <c r="AE57" s="59">
        <v>1</v>
      </c>
      <c r="AF57" s="59">
        <v>1</v>
      </c>
      <c r="AG57" s="59">
        <v>1</v>
      </c>
      <c r="AH57" s="59">
        <v>1</v>
      </c>
      <c r="AI57" s="59">
        <v>1</v>
      </c>
      <c r="AJ57" s="59"/>
      <c r="AK57" s="59"/>
      <c r="AL57" s="59"/>
      <c r="AM57" s="16"/>
      <c r="AN57" s="16"/>
      <c r="AO57" s="13"/>
      <c r="AP57" s="31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>
        <v>1</v>
      </c>
      <c r="BB57" s="16">
        <v>1</v>
      </c>
      <c r="BC57" s="16">
        <v>1</v>
      </c>
      <c r="BD57" s="16"/>
      <c r="BE57" s="16"/>
      <c r="BF57" s="16"/>
      <c r="BG57" s="16"/>
      <c r="BH57" s="16"/>
      <c r="BI57" s="16"/>
      <c r="BJ57" s="16"/>
      <c r="BK57" s="42"/>
      <c r="BM57" s="24">
        <f>IFERROR(COUNTA(L57:BK57)/COUNTA(L57:BK57),"")</f>
        <v>1</v>
      </c>
    </row>
    <row r="58" spans="2:65" s="4" customFormat="1" ht="24" hidden="1" customHeight="1" x14ac:dyDescent="0.25">
      <c r="B58" s="75"/>
      <c r="C58" s="79"/>
      <c r="D58" s="79"/>
      <c r="E58" s="79"/>
      <c r="F58" s="82"/>
      <c r="G58" s="73"/>
      <c r="H58" s="73"/>
      <c r="I58" s="77"/>
      <c r="J58" s="155"/>
      <c r="K58" s="73"/>
      <c r="L58" s="14"/>
      <c r="M58" s="15"/>
      <c r="N58" s="15"/>
      <c r="O58" s="15"/>
      <c r="P58" s="15"/>
      <c r="Q58" s="15"/>
      <c r="R58" s="30"/>
      <c r="S58" s="15"/>
      <c r="T58" s="15"/>
      <c r="U58" s="15"/>
      <c r="V58" s="15"/>
      <c r="W58" s="15"/>
      <c r="X58" s="30"/>
      <c r="Y58" s="15"/>
      <c r="Z58" s="15"/>
      <c r="AA58" s="15"/>
      <c r="AB58" s="15"/>
      <c r="AC58" s="15"/>
      <c r="AD58" s="30"/>
      <c r="AE58" s="15"/>
      <c r="AF58" s="15"/>
      <c r="AG58" s="15"/>
      <c r="AH58" s="15"/>
      <c r="AI58" s="15"/>
      <c r="AJ58" s="17"/>
      <c r="AK58" s="17"/>
      <c r="AL58" s="17"/>
      <c r="AM58" s="17"/>
      <c r="AN58" s="17"/>
      <c r="AO58" s="15"/>
      <c r="AP58" s="32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43"/>
      <c r="BM58" s="28">
        <f>IFERROR(COUNTIF(L58:BK58,2)/COUNTIF(L57:BK57,1),"")</f>
        <v>0</v>
      </c>
    </row>
    <row r="59" spans="2:65" s="4" customFormat="1" ht="24" customHeight="1" x14ac:dyDescent="0.25">
      <c r="B59" s="74">
        <v>16</v>
      </c>
      <c r="C59" s="78" t="s">
        <v>132</v>
      </c>
      <c r="D59" s="78" t="s">
        <v>81</v>
      </c>
      <c r="E59" s="78" t="s">
        <v>76</v>
      </c>
      <c r="F59" s="82" t="s">
        <v>192</v>
      </c>
      <c r="G59" s="83" t="s">
        <v>67</v>
      </c>
      <c r="H59" s="83" t="s">
        <v>79</v>
      </c>
      <c r="I59" s="76" t="str">
        <f>+IF(BM60=100%,"Terminado",IF(BM60=0%,"Por Ejecutar",IF(BM60="","","En Proceso")))</f>
        <v>Por Ejecutar</v>
      </c>
      <c r="J59" s="72">
        <f>IF(L59&gt;0,$L$27,IF(M59&gt;0,$M$27,IF(N59&gt;0,$N$27,IF(O59&gt;0,$O$27,IF(P59&gt;0,$P$27,IF(Q59&gt;0,$Q$27,IF(R59&gt;0,$R$27,IF(S59&gt;0,$S$27,IF(T59&gt;0,$T$27,IF(U59&gt;0,$U$27,IF(V59&gt;0,$V$27,IF(W59&gt;0,$W$27,IF(X59&gt;0,$X$27,IF(Y59&gt;0,$Y$27,IF(Z59&gt;0,$Z$27,IF(AA59&gt;0,$AA$27,IF(AB59&gt;0,$AB$27,IF(AC59&gt;0,$AC$27,IF(AD59&gt;0,$AD$27,IF(AE59&gt;0,$AE$27,IF(AF59&gt;0,$AF$27,IF(AG59&gt;0,$AG$27,IF(AH59&gt;0,$AH$27,IF(AI59&gt;0,$AI$27,IF(AJ59&gt;0,$AJ$27,IF(AK59&gt;0,$AK$27,IF(AL59&gt;0,$AL$27,IF(AM59&gt;0,$AM$27,IF(AN59&gt;0,$AN$27,IF(AO59&gt;0,$AO$27,IF(AP59&gt;0,$AP$27,IF(AQ59&gt;0,$AQ$27,IF(AR59&gt;0,$AR$27,IF(AS59&gt;0,$AS$27,IF(AT59&gt;0,$AT$27,IF(AU59&gt;0,$AU$27,IF(AV59&gt;0,$AV$27,IF(AW59&gt;0,$AW$27,IF(AX59&gt;0,$AX$27,IF(AY59&gt;0,$AY$27,IF(AZ59&gt;0,$AZ$27,IF(BA59&gt;0,$BA$27,IF(BB59&gt;0,$BB$27,IF(BC59&gt;0,$BC$27,IF(BD59&gt;0,$BD$27,IF(BE59&gt;0,$BE$27,IF(BF59&gt;0,$BF$27,IF(BG59&gt;0,$BG$27,IF(BH59&gt;0,$BH$27,IF(BI59&gt;0,$BI$27,IF(BJ59&gt;0,$BJ$27,IF(BK59&gt;0,$BK$27,))))))))))))))))))))))))))))))))))))))))))))))))))))</f>
        <v>45782</v>
      </c>
      <c r="K59" s="83" t="s">
        <v>90</v>
      </c>
      <c r="L59" s="12"/>
      <c r="M59" s="13"/>
      <c r="N59" s="13"/>
      <c r="O59" s="13"/>
      <c r="P59" s="13"/>
      <c r="Q59" s="13"/>
      <c r="R59" s="29"/>
      <c r="S59" s="13"/>
      <c r="T59" s="13"/>
      <c r="U59" s="13"/>
      <c r="V59" s="13"/>
      <c r="W59" s="13"/>
      <c r="X59" s="29"/>
      <c r="Y59" s="13"/>
      <c r="Z59" s="13"/>
      <c r="AA59" s="13"/>
      <c r="AB59" s="13"/>
      <c r="AC59" s="13"/>
      <c r="AD59" s="59">
        <v>1</v>
      </c>
      <c r="AE59" s="59">
        <v>1</v>
      </c>
      <c r="AF59" s="59">
        <v>1</v>
      </c>
      <c r="AG59" s="59">
        <v>1</v>
      </c>
      <c r="AH59" s="59">
        <v>1</v>
      </c>
      <c r="AI59" s="59">
        <v>1</v>
      </c>
      <c r="AJ59" s="59"/>
      <c r="AK59" s="59"/>
      <c r="AL59" s="59"/>
      <c r="AM59" s="16"/>
      <c r="AN59" s="16"/>
      <c r="AO59" s="13"/>
      <c r="AP59" s="31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>
        <v>1</v>
      </c>
      <c r="BB59" s="16">
        <v>1</v>
      </c>
      <c r="BC59" s="16">
        <v>1</v>
      </c>
      <c r="BD59" s="16"/>
      <c r="BE59" s="16"/>
      <c r="BF59" s="16"/>
      <c r="BG59" s="16"/>
      <c r="BH59" s="16"/>
      <c r="BI59" s="16"/>
      <c r="BJ59" s="16"/>
      <c r="BK59" s="42"/>
      <c r="BM59" s="24">
        <f>IFERROR(COUNTA(L59:BK59)/COUNTA(L59:BK59),"")</f>
        <v>1</v>
      </c>
    </row>
    <row r="60" spans="2:65" s="4" customFormat="1" ht="24" hidden="1" customHeight="1" x14ac:dyDescent="0.25">
      <c r="B60" s="75"/>
      <c r="C60" s="79"/>
      <c r="D60" s="79"/>
      <c r="E60" s="79"/>
      <c r="F60" s="82"/>
      <c r="G60" s="73"/>
      <c r="H60" s="73"/>
      <c r="I60" s="77"/>
      <c r="J60" s="155"/>
      <c r="K60" s="73"/>
      <c r="L60" s="14"/>
      <c r="M60" s="15"/>
      <c r="N60" s="15"/>
      <c r="O60" s="15"/>
      <c r="P60" s="15"/>
      <c r="Q60" s="15"/>
      <c r="R60" s="30"/>
      <c r="S60" s="15"/>
      <c r="T60" s="15"/>
      <c r="U60" s="15"/>
      <c r="V60" s="15"/>
      <c r="W60" s="15"/>
      <c r="X60" s="30"/>
      <c r="Y60" s="15"/>
      <c r="Z60" s="15"/>
      <c r="AA60" s="15"/>
      <c r="AB60" s="15"/>
      <c r="AC60" s="15"/>
      <c r="AD60" s="30"/>
      <c r="AE60" s="15"/>
      <c r="AF60" s="15"/>
      <c r="AG60" s="15"/>
      <c r="AH60" s="15"/>
      <c r="AI60" s="15"/>
      <c r="AJ60" s="17"/>
      <c r="AK60" s="17"/>
      <c r="AL60" s="17"/>
      <c r="AM60" s="17"/>
      <c r="AN60" s="17"/>
      <c r="AO60" s="15"/>
      <c r="AP60" s="32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43"/>
      <c r="BM60" s="28">
        <f>IFERROR(COUNTIF(L60:BK60,2)/COUNTIF(L59:BK59,1),"")</f>
        <v>0</v>
      </c>
    </row>
    <row r="61" spans="2:65" s="4" customFormat="1" ht="24" customHeight="1" x14ac:dyDescent="0.25">
      <c r="B61" s="74">
        <v>17</v>
      </c>
      <c r="C61" s="78" t="s">
        <v>132</v>
      </c>
      <c r="D61" s="78" t="s">
        <v>197</v>
      </c>
      <c r="E61" s="78" t="s">
        <v>76</v>
      </c>
      <c r="F61" s="82" t="s">
        <v>182</v>
      </c>
      <c r="G61" s="83" t="s">
        <v>67</v>
      </c>
      <c r="H61" s="83" t="s">
        <v>79</v>
      </c>
      <c r="I61" s="76" t="str">
        <f>+IF(BM62=100%,"Terminado",IF(BM62=0%,"Por Ejecutar",IF(BM62="","","En Proceso")))</f>
        <v>Por Ejecutar</v>
      </c>
      <c r="J61" s="72">
        <f>IF(L61&gt;0,$L$27,IF(M61&gt;0,$M$27,IF(N61&gt;0,$N$27,IF(O61&gt;0,$O$27,IF(P61&gt;0,$P$27,IF(Q61&gt;0,$Q$27,IF(R61&gt;0,$R$27,IF(S61&gt;0,$S$27,IF(T61&gt;0,$T$27,IF(U61&gt;0,$U$27,IF(V61&gt;0,$V$27,IF(W61&gt;0,$W$27,IF(X61&gt;0,$X$27,IF(Y61&gt;0,$Y$27,IF(Z61&gt;0,$Z$27,IF(AA61&gt;0,$AA$27,IF(AB61&gt;0,$AB$27,IF(AC61&gt;0,$AC$27,IF(AD61&gt;0,$AD$27,IF(AE61&gt;0,$AE$27,IF(AF61&gt;0,$AF$27,IF(AG61&gt;0,$AG$27,IF(AH61&gt;0,$AH$27,IF(AI61&gt;0,$AI$27,IF(AJ61&gt;0,$AJ$27,IF(AK61&gt;0,$AK$27,IF(AL61&gt;0,$AL$27,IF(AM61&gt;0,$AM$27,IF(AN61&gt;0,$AN$27,IF(AO61&gt;0,$AO$27,IF(AP61&gt;0,$AP$27,IF(AQ61&gt;0,$AQ$27,IF(AR61&gt;0,$AR$27,IF(AS61&gt;0,$AS$27,IF(AT61&gt;0,$AT$27,IF(AU61&gt;0,$AU$27,IF(AV61&gt;0,$AV$27,IF(AW61&gt;0,$AW$27,IF(AX61&gt;0,$AX$27,IF(AY61&gt;0,$AY$27,IF(AZ61&gt;0,$AZ$27,IF(BA61&gt;0,$BA$27,IF(BB61&gt;0,$BB$27,IF(BC61&gt;0,$BC$27,IF(BD61&gt;0,$BD$27,IF(BE61&gt;0,$BE$27,IF(BF61&gt;0,$BF$27,IF(BG61&gt;0,$BG$27,IF(BH61&gt;0,$BH$27,IF(BI61&gt;0,$BI$27,IF(BJ61&gt;0,$BJ$27,IF(BK61&gt;0,$BK$27,))))))))))))))))))))))))))))))))))))))))))))))))))))</f>
        <v>45782</v>
      </c>
      <c r="K61" s="83" t="s">
        <v>90</v>
      </c>
      <c r="L61" s="12"/>
      <c r="M61" s="13"/>
      <c r="N61" s="13"/>
      <c r="O61" s="13"/>
      <c r="P61" s="13"/>
      <c r="Q61" s="13"/>
      <c r="R61" s="29"/>
      <c r="S61" s="13"/>
      <c r="T61" s="13"/>
      <c r="U61" s="13"/>
      <c r="V61" s="13"/>
      <c r="W61" s="13"/>
      <c r="X61" s="29"/>
      <c r="Y61" s="13"/>
      <c r="Z61" s="13"/>
      <c r="AA61" s="13"/>
      <c r="AB61" s="13"/>
      <c r="AC61" s="13"/>
      <c r="AD61" s="59">
        <v>1</v>
      </c>
      <c r="AE61" s="59">
        <v>1</v>
      </c>
      <c r="AF61" s="59">
        <v>1</v>
      </c>
      <c r="AG61" s="59">
        <v>1</v>
      </c>
      <c r="AH61" s="59">
        <v>1</v>
      </c>
      <c r="AI61" s="59">
        <v>1</v>
      </c>
      <c r="AJ61" s="59"/>
      <c r="AK61" s="59"/>
      <c r="AL61" s="59"/>
      <c r="AM61" s="16"/>
      <c r="AN61" s="16"/>
      <c r="AO61" s="13"/>
      <c r="AP61" s="31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>
        <v>1</v>
      </c>
      <c r="BB61" s="16">
        <v>1</v>
      </c>
      <c r="BC61" s="16">
        <v>1</v>
      </c>
      <c r="BD61" s="16"/>
      <c r="BE61" s="16"/>
      <c r="BF61" s="16"/>
      <c r="BG61" s="16"/>
      <c r="BH61" s="16"/>
      <c r="BI61" s="16"/>
      <c r="BJ61" s="16"/>
      <c r="BK61" s="42"/>
      <c r="BM61" s="24">
        <f>IFERROR(COUNTA(L61:BK61)/COUNTA(L61:BK61),"")</f>
        <v>1</v>
      </c>
    </row>
    <row r="62" spans="2:65" s="4" customFormat="1" ht="24" hidden="1" customHeight="1" x14ac:dyDescent="0.25">
      <c r="B62" s="75"/>
      <c r="C62" s="79"/>
      <c r="D62" s="79"/>
      <c r="E62" s="79"/>
      <c r="F62" s="82"/>
      <c r="G62" s="73"/>
      <c r="H62" s="73"/>
      <c r="I62" s="77"/>
      <c r="J62" s="155"/>
      <c r="K62" s="73"/>
      <c r="L62" s="14"/>
      <c r="M62" s="15"/>
      <c r="N62" s="15"/>
      <c r="O62" s="15"/>
      <c r="P62" s="15"/>
      <c r="Q62" s="15"/>
      <c r="R62" s="30"/>
      <c r="S62" s="15"/>
      <c r="T62" s="15"/>
      <c r="U62" s="15"/>
      <c r="V62" s="15"/>
      <c r="W62" s="15"/>
      <c r="X62" s="30"/>
      <c r="Y62" s="15"/>
      <c r="Z62" s="15"/>
      <c r="AA62" s="15"/>
      <c r="AB62" s="15"/>
      <c r="AC62" s="15"/>
      <c r="AD62" s="30"/>
      <c r="AE62" s="15"/>
      <c r="AF62" s="15"/>
      <c r="AG62" s="15"/>
      <c r="AH62" s="15"/>
      <c r="AI62" s="15"/>
      <c r="AJ62" s="17"/>
      <c r="AK62" s="17"/>
      <c r="AL62" s="17"/>
      <c r="AM62" s="17"/>
      <c r="AN62" s="17"/>
      <c r="AO62" s="15"/>
      <c r="AP62" s="32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43"/>
      <c r="BM62" s="28">
        <f>IFERROR(COUNTIF(L62:BK62,2)/COUNTIF(L61:BK61,1),"")</f>
        <v>0</v>
      </c>
    </row>
    <row r="63" spans="2:65" s="4" customFormat="1" ht="24" customHeight="1" x14ac:dyDescent="0.25">
      <c r="B63" s="74">
        <v>18</v>
      </c>
      <c r="C63" s="78" t="s">
        <v>132</v>
      </c>
      <c r="D63" s="78" t="s">
        <v>81</v>
      </c>
      <c r="E63" s="78" t="s">
        <v>76</v>
      </c>
      <c r="F63" s="82" t="s">
        <v>193</v>
      </c>
      <c r="G63" s="83" t="s">
        <v>67</v>
      </c>
      <c r="H63" s="83" t="s">
        <v>79</v>
      </c>
      <c r="I63" s="76" t="str">
        <f>+IF(BM64=100%,"Terminado",IF(BM64=0%,"Por Ejecutar",IF(BM64="","","En Proceso")))</f>
        <v>Por Ejecutar</v>
      </c>
      <c r="J63" s="72">
        <f>IF(L63&gt;0,$L$27,IF(M63&gt;0,$M$27,IF(N63&gt;0,$N$27,IF(O63&gt;0,$O$27,IF(P63&gt;0,$P$27,IF(Q63&gt;0,$Q$27,IF(R63&gt;0,$R$27,IF(S63&gt;0,$S$27,IF(T63&gt;0,$T$27,IF(U63&gt;0,$U$27,IF(V63&gt;0,$V$27,IF(W63&gt;0,$W$27,IF(X63&gt;0,$X$27,IF(Y63&gt;0,$Y$27,IF(Z63&gt;0,$Z$27,IF(AA63&gt;0,$AA$27,IF(AB63&gt;0,$AB$27,IF(AC63&gt;0,$AC$27,IF(AD63&gt;0,$AD$27,IF(AE63&gt;0,$AE$27,IF(AF63&gt;0,$AF$27,IF(AG63&gt;0,$AG$27,IF(AH63&gt;0,$AH$27,IF(AI63&gt;0,$AI$27,IF(AJ63&gt;0,$AJ$27,IF(AK63&gt;0,$AK$27,IF(AL63&gt;0,$AL$27,IF(AM63&gt;0,$AM$27,IF(AN63&gt;0,$AN$27,IF(AO63&gt;0,$AO$27,IF(AP63&gt;0,$AP$27,IF(AQ63&gt;0,$AQ$27,IF(AR63&gt;0,$AR$27,IF(AS63&gt;0,$AS$27,IF(AT63&gt;0,$AT$27,IF(AU63&gt;0,$AU$27,IF(AV63&gt;0,$AV$27,IF(AW63&gt;0,$AW$27,IF(AX63&gt;0,$AX$27,IF(AY63&gt;0,$AY$27,IF(AZ63&gt;0,$AZ$27,IF(BA63&gt;0,$BA$27,IF(BB63&gt;0,$BB$27,IF(BC63&gt;0,$BC$27,IF(BD63&gt;0,$BD$27,IF(BE63&gt;0,$BE$27,IF(BF63&gt;0,$BF$27,IF(BG63&gt;0,$BG$27,IF(BH63&gt;0,$BH$27,IF(BI63&gt;0,$BI$27,IF(BJ63&gt;0,$BJ$27,IF(BK63&gt;0,$BK$27,))))))))))))))))))))))))))))))))))))))))))))))))))))</f>
        <v>45782</v>
      </c>
      <c r="K63" s="83" t="s">
        <v>90</v>
      </c>
      <c r="L63" s="12"/>
      <c r="M63" s="13"/>
      <c r="N63" s="13"/>
      <c r="O63" s="13"/>
      <c r="P63" s="13"/>
      <c r="Q63" s="13"/>
      <c r="R63" s="29"/>
      <c r="S63" s="13"/>
      <c r="T63" s="13"/>
      <c r="U63" s="13"/>
      <c r="V63" s="13"/>
      <c r="W63" s="13"/>
      <c r="X63" s="29"/>
      <c r="Y63" s="13"/>
      <c r="Z63" s="13"/>
      <c r="AA63" s="13"/>
      <c r="AB63" s="13"/>
      <c r="AC63" s="13"/>
      <c r="AD63" s="59">
        <v>1</v>
      </c>
      <c r="AE63" s="59">
        <v>1</v>
      </c>
      <c r="AF63" s="59">
        <v>1</v>
      </c>
      <c r="AG63" s="59">
        <v>1</v>
      </c>
      <c r="AH63" s="59">
        <v>1</v>
      </c>
      <c r="AI63" s="59">
        <v>1</v>
      </c>
      <c r="AJ63" s="59"/>
      <c r="AK63" s="59"/>
      <c r="AL63" s="59"/>
      <c r="AM63" s="16"/>
      <c r="AN63" s="16"/>
      <c r="AO63" s="13"/>
      <c r="AP63" s="31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>
        <v>1</v>
      </c>
      <c r="BB63" s="16">
        <v>1</v>
      </c>
      <c r="BC63" s="16">
        <v>1</v>
      </c>
      <c r="BD63" s="16"/>
      <c r="BE63" s="16"/>
      <c r="BF63" s="16"/>
      <c r="BG63" s="16"/>
      <c r="BH63" s="16"/>
      <c r="BI63" s="16"/>
      <c r="BJ63" s="16"/>
      <c r="BK63" s="42"/>
      <c r="BM63" s="24">
        <f>IFERROR(COUNTA(L63:BK63)/COUNTA(L63:BK63),"")</f>
        <v>1</v>
      </c>
    </row>
    <row r="64" spans="2:65" s="4" customFormat="1" ht="24" hidden="1" customHeight="1" x14ac:dyDescent="0.25">
      <c r="B64" s="75"/>
      <c r="C64" s="79"/>
      <c r="D64" s="79"/>
      <c r="E64" s="79"/>
      <c r="F64" s="82"/>
      <c r="G64" s="73"/>
      <c r="H64" s="73"/>
      <c r="I64" s="77"/>
      <c r="J64" s="155"/>
      <c r="K64" s="73"/>
      <c r="L64" s="14"/>
      <c r="M64" s="15"/>
      <c r="N64" s="15"/>
      <c r="O64" s="15"/>
      <c r="P64" s="15"/>
      <c r="Q64" s="15"/>
      <c r="R64" s="30"/>
      <c r="S64" s="15"/>
      <c r="T64" s="15"/>
      <c r="U64" s="15"/>
      <c r="V64" s="15"/>
      <c r="W64" s="15"/>
      <c r="X64" s="30"/>
      <c r="Y64" s="15"/>
      <c r="Z64" s="15"/>
      <c r="AA64" s="15"/>
      <c r="AB64" s="15"/>
      <c r="AC64" s="15"/>
      <c r="AD64" s="30"/>
      <c r="AE64" s="15"/>
      <c r="AF64" s="15"/>
      <c r="AG64" s="15"/>
      <c r="AH64" s="15"/>
      <c r="AI64" s="15"/>
      <c r="AJ64" s="17"/>
      <c r="AK64" s="17"/>
      <c r="AL64" s="17"/>
      <c r="AM64" s="17"/>
      <c r="AN64" s="17"/>
      <c r="AO64" s="15"/>
      <c r="AP64" s="32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43"/>
      <c r="BM64" s="28">
        <f>IFERROR(COUNTIF(L64:BK64,2)/COUNTIF(L63:BK63,1),"")</f>
        <v>0</v>
      </c>
    </row>
    <row r="65" spans="2:65" s="4" customFormat="1" ht="24" customHeight="1" x14ac:dyDescent="0.25">
      <c r="B65" s="74">
        <v>19</v>
      </c>
      <c r="C65" s="78" t="s">
        <v>132</v>
      </c>
      <c r="D65" s="78" t="s">
        <v>133</v>
      </c>
      <c r="E65" s="78" t="s">
        <v>76</v>
      </c>
      <c r="F65" s="82" t="s">
        <v>194</v>
      </c>
      <c r="G65" s="83" t="s">
        <v>67</v>
      </c>
      <c r="H65" s="83" t="s">
        <v>79</v>
      </c>
      <c r="I65" s="76" t="str">
        <f>+IF(BM66=100%,"Terminado",IF(BM66=0%,"Por Ejecutar",IF(BM66="","","En Proceso")))</f>
        <v>Por Ejecutar</v>
      </c>
      <c r="J65" s="72">
        <f>IF(L65&gt;0,$L$27,IF(M65&gt;0,$M$27,IF(N65&gt;0,$N$27,IF(O65&gt;0,$O$27,IF(P65&gt;0,$P$27,IF(Q65&gt;0,$Q$27,IF(R65&gt;0,$R$27,IF(S65&gt;0,$S$27,IF(T65&gt;0,$T$27,IF(U65&gt;0,$U$27,IF(V65&gt;0,$V$27,IF(W65&gt;0,$W$27,IF(X65&gt;0,$X$27,IF(Y65&gt;0,$Y$27,IF(Z65&gt;0,$Z$27,IF(AA65&gt;0,$AA$27,IF(AB65&gt;0,$AB$27,IF(AC65&gt;0,$AC$27,IF(AD65&gt;0,$AD$27,IF(AE65&gt;0,$AE$27,IF(AF65&gt;0,$AF$27,IF(AG65&gt;0,$AG$27,IF(AH65&gt;0,$AH$27,IF(AI65&gt;0,$AI$27,IF(AJ65&gt;0,$AJ$27,IF(AK65&gt;0,$AK$27,IF(AL65&gt;0,$AL$27,IF(AM65&gt;0,$AM$27,IF(AN65&gt;0,$AN$27,IF(AO65&gt;0,$AO$27,IF(AP65&gt;0,$AP$27,IF(AQ65&gt;0,$AQ$27,IF(AR65&gt;0,$AR$27,IF(AS65&gt;0,$AS$27,IF(AT65&gt;0,$AT$27,IF(AU65&gt;0,$AU$27,IF(AV65&gt;0,$AV$27,IF(AW65&gt;0,$AW$27,IF(AX65&gt;0,$AX$27,IF(AY65&gt;0,$AY$27,IF(AZ65&gt;0,$AZ$27,IF(BA65&gt;0,$BA$27,IF(BB65&gt;0,$BB$27,IF(BC65&gt;0,$BC$27,IF(BD65&gt;0,$BD$27,IF(BE65&gt;0,$BE$27,IF(BF65&gt;0,$BF$27,IF(BG65&gt;0,$BG$27,IF(BH65&gt;0,$BH$27,IF(BI65&gt;0,$BI$27,IF(BJ65&gt;0,$BJ$27,IF(BK65&gt;0,$BK$27,))))))))))))))))))))))))))))))))))))))))))))))))))))</f>
        <v>45782</v>
      </c>
      <c r="K65" s="83" t="s">
        <v>90</v>
      </c>
      <c r="L65" s="12"/>
      <c r="M65" s="13"/>
      <c r="N65" s="13"/>
      <c r="O65" s="13"/>
      <c r="P65" s="13"/>
      <c r="Q65" s="13"/>
      <c r="R65" s="29"/>
      <c r="S65" s="13"/>
      <c r="T65" s="13"/>
      <c r="U65" s="13"/>
      <c r="V65" s="13"/>
      <c r="W65" s="13"/>
      <c r="X65" s="29"/>
      <c r="Y65" s="13"/>
      <c r="Z65" s="13"/>
      <c r="AA65" s="13"/>
      <c r="AB65" s="13"/>
      <c r="AC65" s="13"/>
      <c r="AD65" s="59">
        <v>1</v>
      </c>
      <c r="AE65" s="59">
        <v>1</v>
      </c>
      <c r="AF65" s="59">
        <v>1</v>
      </c>
      <c r="AG65" s="59">
        <v>1</v>
      </c>
      <c r="AH65" s="59">
        <v>1</v>
      </c>
      <c r="AI65" s="59">
        <v>1</v>
      </c>
      <c r="AJ65" s="59"/>
      <c r="AK65" s="59"/>
      <c r="AL65" s="59"/>
      <c r="AM65" s="16"/>
      <c r="AN65" s="16"/>
      <c r="AO65" s="13"/>
      <c r="AP65" s="31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>
        <v>1</v>
      </c>
      <c r="BB65" s="16">
        <v>1</v>
      </c>
      <c r="BC65" s="16">
        <v>1</v>
      </c>
      <c r="BD65" s="16"/>
      <c r="BE65" s="16"/>
      <c r="BF65" s="16"/>
      <c r="BG65" s="16"/>
      <c r="BH65" s="16"/>
      <c r="BI65" s="16"/>
      <c r="BJ65" s="16"/>
      <c r="BK65" s="42"/>
      <c r="BM65" s="24">
        <f>IFERROR(COUNTA(L65:BK65)/COUNTA(L65:BK65),"")</f>
        <v>1</v>
      </c>
    </row>
    <row r="66" spans="2:65" s="4" customFormat="1" ht="24" hidden="1" customHeight="1" x14ac:dyDescent="0.25">
      <c r="B66" s="75"/>
      <c r="C66" s="79"/>
      <c r="D66" s="79"/>
      <c r="E66" s="79"/>
      <c r="F66" s="82"/>
      <c r="G66" s="73"/>
      <c r="H66" s="73"/>
      <c r="I66" s="77"/>
      <c r="J66" s="155"/>
      <c r="K66" s="73"/>
      <c r="L66" s="14"/>
      <c r="M66" s="15"/>
      <c r="N66" s="15"/>
      <c r="O66" s="15"/>
      <c r="P66" s="15"/>
      <c r="Q66" s="15"/>
      <c r="R66" s="30"/>
      <c r="S66" s="15"/>
      <c r="T66" s="15"/>
      <c r="U66" s="15"/>
      <c r="V66" s="15"/>
      <c r="W66" s="15"/>
      <c r="X66" s="30"/>
      <c r="Y66" s="15"/>
      <c r="Z66" s="15"/>
      <c r="AA66" s="15"/>
      <c r="AB66" s="15"/>
      <c r="AC66" s="15"/>
      <c r="AD66" s="30"/>
      <c r="AE66" s="15"/>
      <c r="AF66" s="15"/>
      <c r="AG66" s="15"/>
      <c r="AH66" s="15"/>
      <c r="AI66" s="15"/>
      <c r="AJ66" s="17"/>
      <c r="AK66" s="17"/>
      <c r="AL66" s="17"/>
      <c r="AM66" s="17"/>
      <c r="AN66" s="17"/>
      <c r="AO66" s="15"/>
      <c r="AP66" s="32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43"/>
      <c r="BM66" s="28">
        <f>IFERROR(COUNTIF(L66:BK66,2)/COUNTIF(L65:BK65,1),"")</f>
        <v>0</v>
      </c>
    </row>
    <row r="67" spans="2:65" s="4" customFormat="1" ht="24" hidden="1" customHeight="1" x14ac:dyDescent="0.25">
      <c r="B67" s="74">
        <v>20</v>
      </c>
      <c r="C67" s="78" t="s">
        <v>132</v>
      </c>
      <c r="D67" s="78" t="s">
        <v>133</v>
      </c>
      <c r="E67" s="78" t="s">
        <v>76</v>
      </c>
      <c r="F67" s="78" t="s">
        <v>228</v>
      </c>
      <c r="G67" s="83" t="s">
        <v>67</v>
      </c>
      <c r="H67" s="83" t="s">
        <v>79</v>
      </c>
      <c r="I67" s="76" t="str">
        <f>+IF(BM68=100%,"Terminado",IF(BM68=0%,"Por Ejecutar",IF(BM68="","","En Proceso")))</f>
        <v>Por Ejecutar</v>
      </c>
      <c r="J67" s="72">
        <f>IF(L67&gt;0,$L$27,IF(M67&gt;0,$M$27,IF(N67&gt;0,$N$27,IF(O67&gt;0,$O$27,IF(P67&gt;0,$P$27,IF(Q67&gt;0,$Q$27,IF(R67&gt;0,$R$27,IF(S67&gt;0,$S$27,IF(T67&gt;0,$T$27,IF(U67&gt;0,$U$27,IF(V67&gt;0,$V$27,IF(W67&gt;0,$W$27,IF(X67&gt;0,$X$27,IF(Y67&gt;0,$Y$27,IF(Z67&gt;0,$Z$27,IF(AA67&gt;0,$AA$27,IF(AB67&gt;0,$AB$27,IF(AC67&gt;0,$AC$27,IF(AD67&gt;0,$AD$27,IF(AE67&gt;0,$AE$27,IF(AF67&gt;0,$AF$27,IF(AG67&gt;0,$AG$27,IF(AH67&gt;0,$AH$27,IF(AI67&gt;0,$AI$27,IF(AJ67&gt;0,$AJ$27,IF(AK67&gt;0,$AK$27,IF(AL67&gt;0,$AL$27,IF(AM67&gt;0,$AM$27,IF(AN67&gt;0,$AN$27,IF(AO67&gt;0,$AO$27,IF(AP67&gt;0,$AP$27,IF(AQ67&gt;0,$AQ$27,IF(AR67&gt;0,$AR$27,IF(AS67&gt;0,$AS$27,IF(AT67&gt;0,$AT$27,IF(AU67&gt;0,$AU$27,IF(AV67&gt;0,$AV$27,IF(AW67&gt;0,$AW$27,IF(AX67&gt;0,$AX$27,IF(AY67&gt;0,$AY$27,IF(AZ67&gt;0,$AZ$27,IF(BA67&gt;0,$BA$27,IF(BB67&gt;0,$BB$27,IF(BC67&gt;0,$BC$27,IF(BD67&gt;0,$BD$27,IF(BE67&gt;0,$BE$27,IF(BF67&gt;0,$BF$27,IF(BG67&gt;0,$BG$27,IF(BH67&gt;0,$BH$27,IF(BI67&gt;0,$BI$27,IF(BJ67&gt;0,$BJ$27,IF(BK67&gt;0,$BK$27,))))))))))))))))))))))))))))))))))))))))))))))))))))</f>
        <v>45782</v>
      </c>
      <c r="K67" s="83" t="s">
        <v>92</v>
      </c>
      <c r="L67" s="12"/>
      <c r="M67" s="13"/>
      <c r="N67" s="13"/>
      <c r="O67" s="13"/>
      <c r="P67" s="13"/>
      <c r="Q67" s="13"/>
      <c r="R67" s="29"/>
      <c r="S67" s="13"/>
      <c r="T67" s="13"/>
      <c r="U67" s="13"/>
      <c r="V67" s="13"/>
      <c r="W67" s="13"/>
      <c r="X67" s="29"/>
      <c r="Y67" s="13"/>
      <c r="Z67" s="13"/>
      <c r="AA67" s="13"/>
      <c r="AB67" s="13"/>
      <c r="AC67" s="13"/>
      <c r="AD67" s="59">
        <v>1</v>
      </c>
      <c r="AE67" s="59">
        <v>1</v>
      </c>
      <c r="AF67" s="59">
        <v>1</v>
      </c>
      <c r="AG67" s="59">
        <v>1</v>
      </c>
      <c r="AH67" s="59">
        <v>1</v>
      </c>
      <c r="AI67" s="59">
        <v>1</v>
      </c>
      <c r="AJ67" s="16"/>
      <c r="AK67" s="16"/>
      <c r="AL67" s="16"/>
      <c r="AM67" s="16"/>
      <c r="AN67" s="16"/>
      <c r="AO67" s="13"/>
      <c r="AP67" s="31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>
        <v>1</v>
      </c>
      <c r="BB67" s="16">
        <v>1</v>
      </c>
      <c r="BC67" s="16">
        <v>1</v>
      </c>
      <c r="BD67" s="16"/>
      <c r="BE67" s="16"/>
      <c r="BF67" s="16"/>
      <c r="BG67" s="16"/>
      <c r="BH67" s="16"/>
      <c r="BI67" s="16"/>
      <c r="BJ67" s="16"/>
      <c r="BK67" s="42"/>
      <c r="BM67" s="24">
        <f>IFERROR(COUNTA(L67:BK67)/COUNTA(L67:BK67),"")</f>
        <v>1</v>
      </c>
    </row>
    <row r="68" spans="2:65" s="4" customFormat="1" ht="24" hidden="1" customHeight="1" x14ac:dyDescent="0.25">
      <c r="B68" s="75"/>
      <c r="C68" s="79"/>
      <c r="D68" s="79"/>
      <c r="E68" s="79"/>
      <c r="F68" s="79"/>
      <c r="G68" s="73"/>
      <c r="H68" s="73"/>
      <c r="I68" s="77"/>
      <c r="J68" s="73"/>
      <c r="K68" s="73"/>
      <c r="L68" s="14"/>
      <c r="M68" s="15"/>
      <c r="N68" s="15"/>
      <c r="O68" s="15"/>
      <c r="P68" s="15"/>
      <c r="Q68" s="15"/>
      <c r="R68" s="30"/>
      <c r="S68" s="15"/>
      <c r="T68" s="15"/>
      <c r="U68" s="15"/>
      <c r="V68" s="15"/>
      <c r="W68" s="15"/>
      <c r="X68" s="30"/>
      <c r="Y68" s="15"/>
      <c r="Z68" s="15"/>
      <c r="AA68" s="15"/>
      <c r="AB68" s="15"/>
      <c r="AC68" s="15"/>
      <c r="AD68" s="30"/>
      <c r="AE68" s="15"/>
      <c r="AF68" s="15"/>
      <c r="AG68" s="15"/>
      <c r="AH68" s="15"/>
      <c r="AI68" s="15"/>
      <c r="AJ68" s="17"/>
      <c r="AK68" s="17"/>
      <c r="AL68" s="17"/>
      <c r="AM68" s="17"/>
      <c r="AN68" s="17"/>
      <c r="AO68" s="15"/>
      <c r="AP68" s="32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43"/>
      <c r="BM68" s="28">
        <f>IFERROR(COUNTIF(L68:BK68,2)/COUNTIF(L67:BK67,1),"")</f>
        <v>0</v>
      </c>
    </row>
    <row r="69" spans="2:65" s="4" customFormat="1" ht="24" hidden="1" customHeight="1" x14ac:dyDescent="0.25">
      <c r="B69" s="74">
        <v>21</v>
      </c>
      <c r="C69" s="78" t="s">
        <v>132</v>
      </c>
      <c r="D69" s="78" t="s">
        <v>133</v>
      </c>
      <c r="E69" s="80" t="s">
        <v>77</v>
      </c>
      <c r="F69" s="80" t="s">
        <v>166</v>
      </c>
      <c r="G69" s="83" t="s">
        <v>67</v>
      </c>
      <c r="H69" s="83" t="s">
        <v>79</v>
      </c>
      <c r="I69" s="76" t="str">
        <f>+IF(BM70=100%,"Terminado",IF(BM70=0%,"Por Ejecutar",IF(BM70="","","En Proceso")))</f>
        <v>Por Ejecutar</v>
      </c>
      <c r="J69" s="72">
        <f>IF(L69&gt;0,$L$27,IF(M69&gt;0,$M$27,IF(N69&gt;0,$N$27,IF(O69&gt;0,$O$27,IF(P69&gt;0,$P$27,IF(Q69&gt;0,$Q$27,IF(R69&gt;0,$R$27,IF(S69&gt;0,$S$27,IF(T69&gt;0,$T$27,IF(U69&gt;0,$U$27,IF(V69&gt;0,$V$27,IF(W69&gt;0,$W$27,IF(X69&gt;0,$X$27,IF(Y69&gt;0,$Y$27,IF(Z69&gt;0,$Z$27,IF(AA69&gt;0,$AA$27,IF(AB69&gt;0,$AB$27,IF(AC69&gt;0,$AC$27,IF(AD69&gt;0,$AD$27,IF(AE69&gt;0,$AE$27,IF(AF69&gt;0,$AF$27,IF(AG69&gt;0,$AG$27,IF(AH69&gt;0,$AH$27,IF(AI69&gt;0,$AI$27,IF(AJ69&gt;0,$AJ$27,IF(AK69&gt;0,$AK$27,IF(AL69&gt;0,$AL$27,IF(AM69&gt;0,$AM$27,IF(AN69&gt;0,$AN$27,IF(AO69&gt;0,$AO$27,IF(AP69&gt;0,$AP$27,IF(AQ69&gt;0,$AQ$27,IF(AR69&gt;0,$AR$27,IF(AS69&gt;0,$AS$27,IF(AT69&gt;0,$AT$27,IF(AU69&gt;0,$AU$27,IF(AV69&gt;0,$AV$27,IF(AW69&gt;0,$AW$27,IF(AX69&gt;0,$AX$27,IF(AY69&gt;0,$AY$27,IF(AZ69&gt;0,$AZ$27,IF(BA69&gt;0,$BA$27,IF(BB69&gt;0,$BB$27,IF(BC69&gt;0,$BC$27,IF(BD69&gt;0,$BD$27,IF(BE69&gt;0,$BE$27,IF(BF69&gt;0,$BF$27,IF(BG69&gt;0,$BG$27,IF(BH69&gt;0,$BH$27,IF(BI69&gt;0,$BI$27,IF(BJ69&gt;0,$BJ$27,IF(BK69&gt;0,$BK$27,))))))))))))))))))))))))))))))))))))))))))))))))))))</f>
        <v>45782</v>
      </c>
      <c r="K69" s="83" t="s">
        <v>87</v>
      </c>
      <c r="L69" s="12"/>
      <c r="M69" s="13"/>
      <c r="N69" s="13"/>
      <c r="O69" s="13"/>
      <c r="P69" s="13"/>
      <c r="Q69" s="13"/>
      <c r="R69" s="29"/>
      <c r="S69" s="13"/>
      <c r="T69" s="13"/>
      <c r="U69" s="13"/>
      <c r="V69" s="13"/>
      <c r="W69" s="13"/>
      <c r="X69" s="29"/>
      <c r="Y69" s="13"/>
      <c r="Z69" s="13"/>
      <c r="AA69" s="13"/>
      <c r="AB69" s="13"/>
      <c r="AC69" s="13"/>
      <c r="AD69" s="59">
        <v>1</v>
      </c>
      <c r="AE69" s="59">
        <v>1</v>
      </c>
      <c r="AF69" s="59">
        <v>1</v>
      </c>
      <c r="AG69" s="59">
        <v>1</v>
      </c>
      <c r="AH69" s="59">
        <v>1</v>
      </c>
      <c r="AI69" s="59">
        <v>1</v>
      </c>
      <c r="AJ69" s="16"/>
      <c r="AK69" s="16"/>
      <c r="AL69" s="16"/>
      <c r="AM69" s="16"/>
      <c r="AN69" s="16"/>
      <c r="AO69" s="13"/>
      <c r="AP69" s="31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>
        <v>1</v>
      </c>
      <c r="BB69" s="16">
        <v>1</v>
      </c>
      <c r="BC69" s="16">
        <v>1</v>
      </c>
      <c r="BD69" s="16"/>
      <c r="BE69" s="16"/>
      <c r="BF69" s="16"/>
      <c r="BG69" s="16"/>
      <c r="BH69" s="16"/>
      <c r="BI69" s="16"/>
      <c r="BJ69" s="16"/>
      <c r="BK69" s="42"/>
      <c r="BM69" s="24">
        <f>IFERROR(COUNTA(L69:BK69)/COUNTA(L69:BK69),"")</f>
        <v>1</v>
      </c>
    </row>
    <row r="70" spans="2:65" s="4" customFormat="1" ht="24" hidden="1" customHeight="1" x14ac:dyDescent="0.25">
      <c r="B70" s="75"/>
      <c r="C70" s="79"/>
      <c r="D70" s="79"/>
      <c r="E70" s="81"/>
      <c r="F70" s="81"/>
      <c r="G70" s="73"/>
      <c r="H70" s="73"/>
      <c r="I70" s="77"/>
      <c r="J70" s="73"/>
      <c r="K70" s="73"/>
      <c r="L70" s="14"/>
      <c r="M70" s="15"/>
      <c r="N70" s="15"/>
      <c r="O70" s="15"/>
      <c r="P70" s="15"/>
      <c r="Q70" s="15"/>
      <c r="R70" s="30"/>
      <c r="S70" s="15"/>
      <c r="T70" s="15"/>
      <c r="U70" s="15"/>
      <c r="V70" s="15"/>
      <c r="W70" s="15"/>
      <c r="X70" s="30"/>
      <c r="Y70" s="15"/>
      <c r="Z70" s="15"/>
      <c r="AA70" s="15"/>
      <c r="AB70" s="15"/>
      <c r="AC70" s="15"/>
      <c r="AD70" s="30"/>
      <c r="AE70" s="15"/>
      <c r="AF70" s="15"/>
      <c r="AG70" s="15"/>
      <c r="AH70" s="15"/>
      <c r="AI70" s="15"/>
      <c r="AJ70" s="17"/>
      <c r="AK70" s="17"/>
      <c r="AL70" s="17"/>
      <c r="AM70" s="17"/>
      <c r="AN70" s="17"/>
      <c r="AO70" s="15"/>
      <c r="AP70" s="32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43"/>
      <c r="BM70" s="28">
        <f>IFERROR(COUNTIF(L70:BK70,2)/COUNTIF(L69:BK69,1),"")</f>
        <v>0</v>
      </c>
    </row>
    <row r="71" spans="2:65" s="4" customFormat="1" ht="24" hidden="1" customHeight="1" x14ac:dyDescent="0.25">
      <c r="B71" s="74">
        <v>22</v>
      </c>
      <c r="C71" s="78" t="s">
        <v>132</v>
      </c>
      <c r="D71" s="78" t="s">
        <v>220</v>
      </c>
      <c r="E71" s="78" t="s">
        <v>76</v>
      </c>
      <c r="F71" s="78" t="s">
        <v>223</v>
      </c>
      <c r="G71" s="83" t="s">
        <v>67</v>
      </c>
      <c r="H71" s="83" t="s">
        <v>79</v>
      </c>
      <c r="I71" s="76" t="str">
        <f>+IF(BM72=100%,"Terminado",IF(BM72=0%,"Por Ejecutar",IF(BM72="","","En Proceso")))</f>
        <v>Por Ejecutar</v>
      </c>
      <c r="J71" s="72">
        <f t="shared" ref="J71:J89" si="2">IF(L71&gt;0,$L$27,IF(M71&gt;0,$M$27,IF(N71&gt;0,$N$27,IF(O71&gt;0,$O$27,IF(P71&gt;0,$P$27,IF(Q71&gt;0,$Q$27,IF(R71&gt;0,$R$27,IF(S71&gt;0,$S$27,IF(T71&gt;0,$T$27,IF(U71&gt;0,$U$27,IF(V71&gt;0,$V$27,IF(W71&gt;0,$W$27,IF(X71&gt;0,$X$27,IF(Y71&gt;0,$Y$27,IF(Z71&gt;0,$Z$27,IF(AA71&gt;0,$AA$27,IF(AB71&gt;0,$AB$27,IF(AC71&gt;0,$AC$27,IF(AD71&gt;0,$AD$27,IF(AE71&gt;0,$AE$27,IF(AF71&gt;0,$AF$27,IF(AG71&gt;0,$AG$27,IF(AH71&gt;0,$AH$27,IF(AI71&gt;0,$AI$27,IF(AJ71&gt;0,$AJ$27,IF(AK71&gt;0,$AK$27,IF(AL71&gt;0,$AL$27,IF(AM71&gt;0,$AM$27,IF(AN71&gt;0,$AN$27,IF(AO71&gt;0,$AO$27,IF(AP71&gt;0,$AP$27,IF(AQ71&gt;0,$AQ$27,IF(AR71&gt;0,$AR$27,IF(AS71&gt;0,$AS$27,IF(AT71&gt;0,$AT$27,IF(AU71&gt;0,$AU$27,IF(AV71&gt;0,$AV$27,IF(AW71&gt;0,$AW$27,IF(AX71&gt;0,$AX$27,IF(AY71&gt;0,$AY$27,IF(AZ71&gt;0,$AZ$27,IF(BA71&gt;0,$BA$27,IF(BB71&gt;0,$BB$27,IF(BC71&gt;0,$BC$27,IF(BD71&gt;0,$BD$27,IF(BE71&gt;0,$BE$27,IF(BF71&gt;0,$BF$27,IF(BG71&gt;0,$BG$27,IF(BH71&gt;0,$BH$27,IF(BI71&gt;0,$BI$27,IF(BJ71&gt;0,$BJ$27,IF(BK71&gt;0,$BK$27,))))))))))))))))))))))))))))))))))))))))))))))))))))</f>
        <v>45782</v>
      </c>
      <c r="K71" s="83" t="s">
        <v>220</v>
      </c>
      <c r="L71" s="12"/>
      <c r="M71" s="13"/>
      <c r="N71" s="13"/>
      <c r="O71" s="13"/>
      <c r="P71" s="13"/>
      <c r="Q71" s="13"/>
      <c r="R71" s="29"/>
      <c r="S71" s="13"/>
      <c r="T71" s="13"/>
      <c r="U71" s="13"/>
      <c r="V71" s="13"/>
      <c r="W71" s="13"/>
      <c r="X71" s="29"/>
      <c r="Y71" s="13"/>
      <c r="Z71" s="13"/>
      <c r="AA71" s="13"/>
      <c r="AB71" s="13"/>
      <c r="AC71" s="13"/>
      <c r="AD71" s="59">
        <v>1</v>
      </c>
      <c r="AE71" s="59">
        <v>1</v>
      </c>
      <c r="AF71" s="59">
        <v>1</v>
      </c>
      <c r="AG71" s="59">
        <v>1</v>
      </c>
      <c r="AH71" s="59">
        <v>1</v>
      </c>
      <c r="AI71" s="59">
        <v>1</v>
      </c>
      <c r="AJ71" s="16"/>
      <c r="AK71" s="16"/>
      <c r="AL71" s="16"/>
      <c r="AM71" s="16"/>
      <c r="AN71" s="16"/>
      <c r="AO71" s="13"/>
      <c r="AP71" s="31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>
        <v>1</v>
      </c>
      <c r="BB71" s="16">
        <v>1</v>
      </c>
      <c r="BC71" s="16">
        <v>1</v>
      </c>
      <c r="BD71" s="16"/>
      <c r="BE71" s="16"/>
      <c r="BF71" s="16"/>
      <c r="BG71" s="16"/>
      <c r="BH71" s="16"/>
      <c r="BI71" s="16"/>
      <c r="BJ71" s="16"/>
      <c r="BK71" s="42"/>
      <c r="BM71" s="24">
        <f>IFERROR(COUNTA(L71:BK71)/COUNTA(L71:BK71),"")</f>
        <v>1</v>
      </c>
    </row>
    <row r="72" spans="2:65" s="4" customFormat="1" ht="24" hidden="1" customHeight="1" x14ac:dyDescent="0.25">
      <c r="B72" s="75"/>
      <c r="C72" s="79"/>
      <c r="D72" s="79"/>
      <c r="E72" s="79"/>
      <c r="F72" s="79"/>
      <c r="G72" s="73"/>
      <c r="H72" s="73"/>
      <c r="I72" s="77"/>
      <c r="J72" s="73"/>
      <c r="K72" s="73"/>
      <c r="L72" s="14"/>
      <c r="M72" s="15"/>
      <c r="N72" s="15"/>
      <c r="O72" s="15"/>
      <c r="P72" s="15"/>
      <c r="Q72" s="15"/>
      <c r="R72" s="30"/>
      <c r="S72" s="15"/>
      <c r="T72" s="15"/>
      <c r="U72" s="15"/>
      <c r="V72" s="15"/>
      <c r="W72" s="15"/>
      <c r="X72" s="30"/>
      <c r="Y72" s="15"/>
      <c r="Z72" s="15"/>
      <c r="AA72" s="15"/>
      <c r="AB72" s="15"/>
      <c r="AC72" s="15"/>
      <c r="AD72" s="30"/>
      <c r="AE72" s="15"/>
      <c r="AF72" s="15"/>
      <c r="AG72" s="15"/>
      <c r="AH72" s="15"/>
      <c r="AI72" s="15"/>
      <c r="AJ72" s="17"/>
      <c r="AK72" s="17"/>
      <c r="AL72" s="17"/>
      <c r="AM72" s="17"/>
      <c r="AN72" s="17"/>
      <c r="AO72" s="15"/>
      <c r="AP72" s="32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43"/>
      <c r="BM72" s="28">
        <f>IFERROR(COUNTIF(L72:BK72,2)/COUNTIF(L71:BK71,1),"")</f>
        <v>0</v>
      </c>
    </row>
    <row r="73" spans="2:65" s="4" customFormat="1" ht="24" hidden="1" customHeight="1" x14ac:dyDescent="0.25">
      <c r="B73" s="74">
        <v>23</v>
      </c>
      <c r="C73" s="78" t="s">
        <v>132</v>
      </c>
      <c r="D73" s="78" t="s">
        <v>220</v>
      </c>
      <c r="E73" s="78" t="s">
        <v>76</v>
      </c>
      <c r="F73" s="78" t="s">
        <v>224</v>
      </c>
      <c r="G73" s="83" t="s">
        <v>67</v>
      </c>
      <c r="H73" s="83" t="s">
        <v>79</v>
      </c>
      <c r="I73" s="76" t="str">
        <f t="shared" ref="I73:I85" si="3">+IF(BM74=100%,"Terminado",IF(BM74=0%,"Por Ejecutar",IF(BM74="","","En Proceso")))</f>
        <v>Por Ejecutar</v>
      </c>
      <c r="J73" s="72">
        <f t="shared" si="2"/>
        <v>45782</v>
      </c>
      <c r="K73" s="83" t="s">
        <v>220</v>
      </c>
      <c r="L73" s="12"/>
      <c r="M73" s="13"/>
      <c r="N73" s="13"/>
      <c r="O73" s="13"/>
      <c r="P73" s="13"/>
      <c r="Q73" s="13"/>
      <c r="R73" s="29"/>
      <c r="S73" s="13"/>
      <c r="T73" s="13"/>
      <c r="U73" s="13"/>
      <c r="V73" s="13"/>
      <c r="W73" s="13"/>
      <c r="X73" s="29"/>
      <c r="Y73" s="13"/>
      <c r="Z73" s="13"/>
      <c r="AA73" s="13"/>
      <c r="AB73" s="13"/>
      <c r="AC73" s="13"/>
      <c r="AD73" s="59">
        <v>1</v>
      </c>
      <c r="AE73" s="59">
        <v>1</v>
      </c>
      <c r="AF73" s="59">
        <v>1</v>
      </c>
      <c r="AG73" s="59">
        <v>1</v>
      </c>
      <c r="AH73" s="59">
        <v>1</v>
      </c>
      <c r="AI73" s="59">
        <v>1</v>
      </c>
      <c r="AJ73" s="16"/>
      <c r="AK73" s="16"/>
      <c r="AL73" s="16"/>
      <c r="AM73" s="16"/>
      <c r="AN73" s="16"/>
      <c r="AO73" s="13"/>
      <c r="AP73" s="31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>
        <v>1</v>
      </c>
      <c r="BB73" s="16">
        <v>1</v>
      </c>
      <c r="BC73" s="16">
        <v>1</v>
      </c>
      <c r="BD73" s="16"/>
      <c r="BE73" s="16"/>
      <c r="BF73" s="16"/>
      <c r="BG73" s="16"/>
      <c r="BH73" s="16"/>
      <c r="BI73" s="16"/>
      <c r="BJ73" s="16"/>
      <c r="BK73" s="42"/>
      <c r="BM73" s="24">
        <f>IFERROR(COUNTA(L73:BK73)/COUNTA(L73:BK73),"")</f>
        <v>1</v>
      </c>
    </row>
    <row r="74" spans="2:65" s="4" customFormat="1" ht="24" hidden="1" customHeight="1" x14ac:dyDescent="0.25">
      <c r="B74" s="75"/>
      <c r="C74" s="79"/>
      <c r="D74" s="79"/>
      <c r="E74" s="79"/>
      <c r="F74" s="79"/>
      <c r="G74" s="73"/>
      <c r="H74" s="73"/>
      <c r="I74" s="77"/>
      <c r="J74" s="73"/>
      <c r="K74" s="73"/>
      <c r="L74" s="14"/>
      <c r="M74" s="15"/>
      <c r="N74" s="15"/>
      <c r="O74" s="15"/>
      <c r="P74" s="15"/>
      <c r="Q74" s="15"/>
      <c r="R74" s="30"/>
      <c r="S74" s="15"/>
      <c r="T74" s="15"/>
      <c r="U74" s="15"/>
      <c r="V74" s="15"/>
      <c r="W74" s="15"/>
      <c r="X74" s="30"/>
      <c r="Y74" s="15"/>
      <c r="Z74" s="15"/>
      <c r="AA74" s="15"/>
      <c r="AB74" s="15"/>
      <c r="AC74" s="15"/>
      <c r="AD74" s="30"/>
      <c r="AE74" s="15"/>
      <c r="AF74" s="15"/>
      <c r="AG74" s="15"/>
      <c r="AH74" s="15"/>
      <c r="AI74" s="15"/>
      <c r="AJ74" s="17"/>
      <c r="AK74" s="17"/>
      <c r="AL74" s="17"/>
      <c r="AM74" s="17"/>
      <c r="AN74" s="17"/>
      <c r="AO74" s="15"/>
      <c r="AP74" s="32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43"/>
      <c r="BM74" s="28">
        <f>IFERROR(COUNTIF(L74:BK74,2)/COUNTIF(L73:BK73,1),"")</f>
        <v>0</v>
      </c>
    </row>
    <row r="75" spans="2:65" s="4" customFormat="1" ht="24" hidden="1" customHeight="1" x14ac:dyDescent="0.25">
      <c r="B75" s="74">
        <v>24</v>
      </c>
      <c r="C75" s="78" t="s">
        <v>132</v>
      </c>
      <c r="D75" s="78" t="s">
        <v>220</v>
      </c>
      <c r="E75" s="78" t="s">
        <v>76</v>
      </c>
      <c r="F75" s="78" t="s">
        <v>225</v>
      </c>
      <c r="G75" s="83" t="s">
        <v>67</v>
      </c>
      <c r="H75" s="83" t="s">
        <v>79</v>
      </c>
      <c r="I75" s="76" t="str">
        <f t="shared" si="3"/>
        <v>Por Ejecutar</v>
      </c>
      <c r="J75" s="72">
        <f t="shared" si="2"/>
        <v>45824</v>
      </c>
      <c r="K75" s="83" t="s">
        <v>220</v>
      </c>
      <c r="L75" s="12"/>
      <c r="M75" s="13"/>
      <c r="N75" s="13"/>
      <c r="O75" s="13"/>
      <c r="P75" s="13"/>
      <c r="Q75" s="13"/>
      <c r="R75" s="29"/>
      <c r="S75" s="13"/>
      <c r="T75" s="13"/>
      <c r="U75" s="13"/>
      <c r="V75" s="13"/>
      <c r="W75" s="13"/>
      <c r="X75" s="29"/>
      <c r="Y75" s="13"/>
      <c r="Z75" s="13"/>
      <c r="AA75" s="13"/>
      <c r="AB75" s="13"/>
      <c r="AC75" s="13"/>
      <c r="AD75" s="59"/>
      <c r="AE75" s="59"/>
      <c r="AF75" s="59"/>
      <c r="AG75" s="59"/>
      <c r="AH75" s="59"/>
      <c r="AI75" s="59"/>
      <c r="AJ75" s="59">
        <v>1</v>
      </c>
      <c r="AK75" s="59">
        <v>1</v>
      </c>
      <c r="AL75" s="59">
        <v>1</v>
      </c>
      <c r="AM75" s="59">
        <v>1</v>
      </c>
      <c r="AN75" s="16"/>
      <c r="AO75" s="13"/>
      <c r="AP75" s="31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42"/>
      <c r="BM75" s="24">
        <f>IFERROR(COUNTA(L75:BK75)/COUNTA(L75:BK75),"")</f>
        <v>1</v>
      </c>
    </row>
    <row r="76" spans="2:65" s="4" customFormat="1" ht="24" hidden="1" customHeight="1" x14ac:dyDescent="0.25">
      <c r="B76" s="75"/>
      <c r="C76" s="79"/>
      <c r="D76" s="79"/>
      <c r="E76" s="79"/>
      <c r="F76" s="79"/>
      <c r="G76" s="73"/>
      <c r="H76" s="73"/>
      <c r="I76" s="77"/>
      <c r="J76" s="73"/>
      <c r="K76" s="73"/>
      <c r="L76" s="14"/>
      <c r="M76" s="15"/>
      <c r="N76" s="15"/>
      <c r="O76" s="15"/>
      <c r="P76" s="15"/>
      <c r="Q76" s="15"/>
      <c r="R76" s="30"/>
      <c r="S76" s="15"/>
      <c r="T76" s="15"/>
      <c r="U76" s="15"/>
      <c r="V76" s="15"/>
      <c r="W76" s="15"/>
      <c r="X76" s="30"/>
      <c r="Y76" s="15"/>
      <c r="Z76" s="15"/>
      <c r="AA76" s="15"/>
      <c r="AB76" s="15"/>
      <c r="AC76" s="15"/>
      <c r="AD76" s="30"/>
      <c r="AE76" s="15"/>
      <c r="AF76" s="15"/>
      <c r="AG76" s="15"/>
      <c r="AH76" s="15"/>
      <c r="AI76" s="15"/>
      <c r="AJ76" s="17"/>
      <c r="AK76" s="17"/>
      <c r="AL76" s="17"/>
      <c r="AM76" s="17"/>
      <c r="AN76" s="17"/>
      <c r="AO76" s="15"/>
      <c r="AP76" s="32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43"/>
      <c r="BM76" s="28">
        <f>IFERROR(COUNTIF(L76:BK76,2)/COUNTIF(L75:BK75,1),"")</f>
        <v>0</v>
      </c>
    </row>
    <row r="77" spans="2:65" s="4" customFormat="1" ht="24" hidden="1" customHeight="1" x14ac:dyDescent="0.25">
      <c r="B77" s="74">
        <v>25</v>
      </c>
      <c r="C77" s="78" t="s">
        <v>132</v>
      </c>
      <c r="D77" s="78" t="s">
        <v>232</v>
      </c>
      <c r="E77" s="78" t="s">
        <v>76</v>
      </c>
      <c r="F77" s="78" t="s">
        <v>231</v>
      </c>
      <c r="G77" s="83" t="s">
        <v>67</v>
      </c>
      <c r="H77" s="83" t="s">
        <v>79</v>
      </c>
      <c r="I77" s="76" t="str">
        <f t="shared" si="3"/>
        <v>Por Ejecutar</v>
      </c>
      <c r="J77" s="72">
        <f t="shared" si="2"/>
        <v>45929</v>
      </c>
      <c r="K77" s="83" t="s">
        <v>220</v>
      </c>
      <c r="L77" s="12"/>
      <c r="M77" s="13"/>
      <c r="N77" s="13"/>
      <c r="O77" s="13"/>
      <c r="P77" s="13"/>
      <c r="Q77" s="13"/>
      <c r="R77" s="29"/>
      <c r="S77" s="13"/>
      <c r="T77" s="13"/>
      <c r="U77" s="13"/>
      <c r="V77" s="13"/>
      <c r="W77" s="13"/>
      <c r="X77" s="29"/>
      <c r="Y77" s="13"/>
      <c r="Z77" s="13"/>
      <c r="AA77" s="13"/>
      <c r="AB77" s="13"/>
      <c r="AC77" s="13"/>
      <c r="AD77" s="59"/>
      <c r="AE77" s="59"/>
      <c r="AF77" s="59"/>
      <c r="AG77" s="59"/>
      <c r="AH77" s="59"/>
      <c r="AI77" s="59"/>
      <c r="AJ77" s="16"/>
      <c r="AK77" s="16"/>
      <c r="AL77" s="16"/>
      <c r="AM77" s="16"/>
      <c r="AN77" s="16"/>
      <c r="AO77" s="13"/>
      <c r="AP77" s="31"/>
      <c r="AQ77" s="16"/>
      <c r="AR77" s="16"/>
      <c r="AS77" s="16"/>
      <c r="AT77" s="16"/>
      <c r="AU77" s="16"/>
      <c r="AV77" s="16"/>
      <c r="AW77" s="16"/>
      <c r="AX77" s="16"/>
      <c r="AY77" s="59">
        <v>1</v>
      </c>
      <c r="AZ77" s="59">
        <v>1</v>
      </c>
      <c r="BA77" s="59">
        <v>1</v>
      </c>
      <c r="BB77" s="59">
        <v>1</v>
      </c>
      <c r="BC77" s="16"/>
      <c r="BD77" s="16"/>
      <c r="BE77" s="16"/>
      <c r="BF77" s="16"/>
      <c r="BG77" s="16"/>
      <c r="BH77" s="16"/>
      <c r="BI77" s="16"/>
      <c r="BJ77" s="16"/>
      <c r="BK77" s="42"/>
      <c r="BM77" s="52"/>
    </row>
    <row r="78" spans="2:65" s="4" customFormat="1" ht="24" hidden="1" customHeight="1" x14ac:dyDescent="0.25">
      <c r="B78" s="75"/>
      <c r="C78" s="79"/>
      <c r="D78" s="79"/>
      <c r="E78" s="79"/>
      <c r="F78" s="79"/>
      <c r="G78" s="73"/>
      <c r="H78" s="73"/>
      <c r="I78" s="77"/>
      <c r="J78" s="73"/>
      <c r="K78" s="73"/>
      <c r="L78" s="14"/>
      <c r="M78" s="15"/>
      <c r="N78" s="15"/>
      <c r="O78" s="15"/>
      <c r="P78" s="15"/>
      <c r="Q78" s="15"/>
      <c r="R78" s="30"/>
      <c r="S78" s="15"/>
      <c r="T78" s="15"/>
      <c r="U78" s="15"/>
      <c r="V78" s="15"/>
      <c r="W78" s="15"/>
      <c r="X78" s="30"/>
      <c r="Y78" s="15"/>
      <c r="Z78" s="15"/>
      <c r="AA78" s="15"/>
      <c r="AB78" s="15"/>
      <c r="AC78" s="15"/>
      <c r="AD78" s="30"/>
      <c r="AE78" s="15"/>
      <c r="AF78" s="15"/>
      <c r="AG78" s="15"/>
      <c r="AH78" s="15"/>
      <c r="AI78" s="15"/>
      <c r="AJ78" s="17"/>
      <c r="AK78" s="17"/>
      <c r="AL78" s="17"/>
      <c r="AM78" s="17"/>
      <c r="AN78" s="17"/>
      <c r="AO78" s="15"/>
      <c r="AP78" s="32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43"/>
      <c r="BM78" s="52"/>
    </row>
    <row r="79" spans="2:65" s="4" customFormat="1" ht="24" hidden="1" customHeight="1" x14ac:dyDescent="0.25">
      <c r="B79" s="74">
        <v>26</v>
      </c>
      <c r="C79" s="78" t="s">
        <v>132</v>
      </c>
      <c r="D79" s="78" t="s">
        <v>131</v>
      </c>
      <c r="E79" s="78" t="s">
        <v>76</v>
      </c>
      <c r="F79" s="78" t="s">
        <v>226</v>
      </c>
      <c r="G79" s="83" t="s">
        <v>67</v>
      </c>
      <c r="H79" s="83" t="s">
        <v>79</v>
      </c>
      <c r="I79" s="76" t="str">
        <f t="shared" si="3"/>
        <v>Por Ejecutar</v>
      </c>
      <c r="J79" s="72">
        <f t="shared" si="2"/>
        <v>45691</v>
      </c>
      <c r="K79" s="83" t="s">
        <v>88</v>
      </c>
      <c r="L79" s="12"/>
      <c r="M79" s="13"/>
      <c r="N79" s="13"/>
      <c r="O79" s="13"/>
      <c r="P79" s="13"/>
      <c r="Q79" s="13">
        <v>1</v>
      </c>
      <c r="R79" s="29">
        <v>1</v>
      </c>
      <c r="S79" s="13">
        <v>1</v>
      </c>
      <c r="T79" s="13">
        <v>1</v>
      </c>
      <c r="U79" s="13"/>
      <c r="V79" s="13"/>
      <c r="W79" s="13"/>
      <c r="X79" s="29"/>
      <c r="Y79" s="13"/>
      <c r="Z79" s="13"/>
      <c r="AA79" s="13"/>
      <c r="AB79" s="13"/>
      <c r="AC79" s="13"/>
      <c r="AD79" s="59"/>
      <c r="AE79" s="59"/>
      <c r="AF79" s="59"/>
      <c r="AG79" s="59"/>
      <c r="AH79" s="59"/>
      <c r="AI79" s="59"/>
      <c r="AJ79" s="16"/>
      <c r="AK79" s="16"/>
      <c r="AL79" s="16"/>
      <c r="AM79" s="16"/>
      <c r="AN79" s="16"/>
      <c r="AO79" s="13"/>
      <c r="AP79" s="31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42"/>
      <c r="BM79" s="52"/>
    </row>
    <row r="80" spans="2:65" s="4" customFormat="1" ht="24" hidden="1" customHeight="1" x14ac:dyDescent="0.25">
      <c r="B80" s="75"/>
      <c r="C80" s="79"/>
      <c r="D80" s="79"/>
      <c r="E80" s="79"/>
      <c r="F80" s="79"/>
      <c r="G80" s="73"/>
      <c r="H80" s="73"/>
      <c r="I80" s="77"/>
      <c r="J80" s="73"/>
      <c r="K80" s="73"/>
      <c r="L80" s="14"/>
      <c r="M80" s="15"/>
      <c r="N80" s="15"/>
      <c r="O80" s="15"/>
      <c r="P80" s="15"/>
      <c r="Q80" s="15"/>
      <c r="R80" s="30"/>
      <c r="S80" s="15"/>
      <c r="T80" s="15"/>
      <c r="U80" s="15"/>
      <c r="V80" s="15"/>
      <c r="W80" s="15"/>
      <c r="X80" s="30"/>
      <c r="Y80" s="15"/>
      <c r="Z80" s="15"/>
      <c r="AA80" s="15"/>
      <c r="AB80" s="15"/>
      <c r="AC80" s="15"/>
      <c r="AD80" s="30"/>
      <c r="AE80" s="15"/>
      <c r="AF80" s="15"/>
      <c r="AG80" s="15"/>
      <c r="AH80" s="15"/>
      <c r="AI80" s="15"/>
      <c r="AJ80" s="17"/>
      <c r="AK80" s="17"/>
      <c r="AL80" s="17"/>
      <c r="AM80" s="17"/>
      <c r="AN80" s="17"/>
      <c r="AO80" s="15"/>
      <c r="AP80" s="32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43"/>
      <c r="BM80" s="52"/>
    </row>
    <row r="81" spans="2:65" s="4" customFormat="1" ht="24" hidden="1" customHeight="1" x14ac:dyDescent="0.25">
      <c r="B81" s="74">
        <v>27</v>
      </c>
      <c r="C81" s="78" t="s">
        <v>132</v>
      </c>
      <c r="D81" s="78" t="s">
        <v>82</v>
      </c>
      <c r="E81" s="78" t="s">
        <v>76</v>
      </c>
      <c r="F81" s="78" t="s">
        <v>227</v>
      </c>
      <c r="G81" s="83" t="s">
        <v>67</v>
      </c>
      <c r="H81" s="83" t="s">
        <v>79</v>
      </c>
      <c r="I81" s="76" t="str">
        <f t="shared" si="3"/>
        <v>Por Ejecutar</v>
      </c>
      <c r="J81" s="72">
        <f t="shared" si="2"/>
        <v>45866</v>
      </c>
      <c r="K81" s="83" t="s">
        <v>82</v>
      </c>
      <c r="L81" s="12"/>
      <c r="M81" s="13"/>
      <c r="N81" s="13"/>
      <c r="O81" s="13"/>
      <c r="P81" s="13"/>
      <c r="Q81" s="13"/>
      <c r="R81" s="29"/>
      <c r="S81" s="13"/>
      <c r="T81" s="13"/>
      <c r="U81" s="13"/>
      <c r="V81" s="13"/>
      <c r="W81" s="13"/>
      <c r="X81" s="29"/>
      <c r="Y81" s="13"/>
      <c r="Z81" s="13"/>
      <c r="AA81" s="13"/>
      <c r="AB81" s="13"/>
      <c r="AC81" s="13"/>
      <c r="AD81" s="59"/>
      <c r="AE81" s="59"/>
      <c r="AF81" s="59"/>
      <c r="AG81" s="59"/>
      <c r="AH81" s="59"/>
      <c r="AI81" s="59"/>
      <c r="AJ81" s="16"/>
      <c r="AK81" s="16"/>
      <c r="AL81" s="16"/>
      <c r="AM81" s="16"/>
      <c r="AN81" s="16"/>
      <c r="AO81" s="13"/>
      <c r="AP81" s="31">
        <v>1</v>
      </c>
      <c r="AQ81" s="16">
        <v>1</v>
      </c>
      <c r="AR81" s="16">
        <v>1</v>
      </c>
      <c r="AS81" s="16">
        <v>1</v>
      </c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42"/>
      <c r="BM81" s="52"/>
    </row>
    <row r="82" spans="2:65" s="4" customFormat="1" ht="24" hidden="1" customHeight="1" x14ac:dyDescent="0.25">
      <c r="B82" s="75"/>
      <c r="C82" s="79"/>
      <c r="D82" s="79"/>
      <c r="E82" s="79"/>
      <c r="F82" s="79"/>
      <c r="G82" s="73"/>
      <c r="H82" s="73"/>
      <c r="I82" s="77"/>
      <c r="J82" s="73"/>
      <c r="K82" s="73"/>
      <c r="L82" s="14"/>
      <c r="M82" s="15"/>
      <c r="N82" s="15"/>
      <c r="O82" s="15"/>
      <c r="P82" s="15"/>
      <c r="Q82" s="15"/>
      <c r="R82" s="30"/>
      <c r="S82" s="15"/>
      <c r="T82" s="15"/>
      <c r="U82" s="15"/>
      <c r="V82" s="15"/>
      <c r="W82" s="15"/>
      <c r="X82" s="30"/>
      <c r="Y82" s="15"/>
      <c r="Z82" s="15"/>
      <c r="AA82" s="15"/>
      <c r="AB82" s="15"/>
      <c r="AC82" s="15"/>
      <c r="AD82" s="30"/>
      <c r="AE82" s="15"/>
      <c r="AF82" s="15"/>
      <c r="AG82" s="15"/>
      <c r="AH82" s="15"/>
      <c r="AI82" s="15"/>
      <c r="AJ82" s="17"/>
      <c r="AK82" s="17"/>
      <c r="AL82" s="17"/>
      <c r="AM82" s="17"/>
      <c r="AN82" s="17"/>
      <c r="AO82" s="15"/>
      <c r="AP82" s="32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43"/>
      <c r="BM82" s="52"/>
    </row>
    <row r="83" spans="2:65" s="4" customFormat="1" ht="24" hidden="1" customHeight="1" x14ac:dyDescent="0.25">
      <c r="B83" s="74">
        <v>28</v>
      </c>
      <c r="C83" s="78" t="s">
        <v>132</v>
      </c>
      <c r="D83" s="78" t="s">
        <v>81</v>
      </c>
      <c r="E83" s="78" t="s">
        <v>76</v>
      </c>
      <c r="F83" s="78" t="s">
        <v>229</v>
      </c>
      <c r="G83" s="83" t="s">
        <v>67</v>
      </c>
      <c r="H83" s="83" t="s">
        <v>79</v>
      </c>
      <c r="I83" s="76" t="str">
        <f t="shared" si="3"/>
        <v>Por Ejecutar</v>
      </c>
      <c r="J83" s="72">
        <f t="shared" si="2"/>
        <v>45866</v>
      </c>
      <c r="K83" s="83" t="s">
        <v>81</v>
      </c>
      <c r="L83" s="12"/>
      <c r="M83" s="13"/>
      <c r="N83" s="13"/>
      <c r="O83" s="13"/>
      <c r="P83" s="13"/>
      <c r="Q83" s="13"/>
      <c r="R83" s="29"/>
      <c r="S83" s="13"/>
      <c r="T83" s="13"/>
      <c r="U83" s="13"/>
      <c r="V83" s="13"/>
      <c r="W83" s="13"/>
      <c r="X83" s="29"/>
      <c r="Y83" s="13"/>
      <c r="Z83" s="13"/>
      <c r="AA83" s="13"/>
      <c r="AB83" s="13"/>
      <c r="AC83" s="13"/>
      <c r="AD83" s="59"/>
      <c r="AE83" s="59"/>
      <c r="AF83" s="59"/>
      <c r="AG83" s="59"/>
      <c r="AH83" s="59"/>
      <c r="AI83" s="59"/>
      <c r="AJ83" s="16"/>
      <c r="AK83" s="16"/>
      <c r="AL83" s="16"/>
      <c r="AM83" s="16"/>
      <c r="AN83" s="16"/>
      <c r="AO83" s="13"/>
      <c r="AP83" s="31">
        <v>1</v>
      </c>
      <c r="AQ83" s="16">
        <v>1</v>
      </c>
      <c r="AR83" s="16">
        <v>1</v>
      </c>
      <c r="AS83" s="16">
        <v>1</v>
      </c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42"/>
      <c r="BM83" s="52"/>
    </row>
    <row r="84" spans="2:65" s="4" customFormat="1" ht="24" hidden="1" customHeight="1" x14ac:dyDescent="0.25">
      <c r="B84" s="75"/>
      <c r="C84" s="79"/>
      <c r="D84" s="79"/>
      <c r="E84" s="79"/>
      <c r="F84" s="79"/>
      <c r="G84" s="73"/>
      <c r="H84" s="73"/>
      <c r="I84" s="77"/>
      <c r="J84" s="73"/>
      <c r="K84" s="73"/>
      <c r="L84" s="14"/>
      <c r="M84" s="15"/>
      <c r="N84" s="15"/>
      <c r="O84" s="15"/>
      <c r="P84" s="15"/>
      <c r="Q84" s="15"/>
      <c r="R84" s="30"/>
      <c r="S84" s="15"/>
      <c r="T84" s="15"/>
      <c r="U84" s="15"/>
      <c r="V84" s="15"/>
      <c r="W84" s="15"/>
      <c r="X84" s="30"/>
      <c r="Y84" s="15"/>
      <c r="Z84" s="15"/>
      <c r="AA84" s="15"/>
      <c r="AB84" s="15"/>
      <c r="AC84" s="15"/>
      <c r="AD84" s="30"/>
      <c r="AE84" s="15"/>
      <c r="AF84" s="15"/>
      <c r="AG84" s="15"/>
      <c r="AH84" s="15"/>
      <c r="AI84" s="15"/>
      <c r="AJ84" s="17"/>
      <c r="AK84" s="17"/>
      <c r="AL84" s="17"/>
      <c r="AM84" s="17"/>
      <c r="AN84" s="17"/>
      <c r="AO84" s="15"/>
      <c r="AP84" s="32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43"/>
      <c r="BM84" s="52"/>
    </row>
    <row r="85" spans="2:65" s="4" customFormat="1" ht="24" customHeight="1" x14ac:dyDescent="0.25">
      <c r="B85" s="74">
        <v>29</v>
      </c>
      <c r="C85" s="78" t="s">
        <v>132</v>
      </c>
      <c r="D85" s="78" t="s">
        <v>133</v>
      </c>
      <c r="E85" s="80" t="s">
        <v>77</v>
      </c>
      <c r="F85" s="80" t="s">
        <v>172</v>
      </c>
      <c r="G85" s="83" t="s">
        <v>65</v>
      </c>
      <c r="H85" s="83" t="s">
        <v>79</v>
      </c>
      <c r="I85" s="76" t="str">
        <f t="shared" si="3"/>
        <v>Por Ejecutar</v>
      </c>
      <c r="J85" s="72">
        <f t="shared" si="2"/>
        <v>45782</v>
      </c>
      <c r="K85" s="83" t="s">
        <v>90</v>
      </c>
      <c r="L85" s="12"/>
      <c r="M85" s="13"/>
      <c r="N85" s="13"/>
      <c r="O85" s="13"/>
      <c r="P85" s="13"/>
      <c r="Q85" s="13"/>
      <c r="R85" s="29"/>
      <c r="S85" s="13"/>
      <c r="T85" s="13"/>
      <c r="U85" s="13"/>
      <c r="V85" s="13"/>
      <c r="W85" s="13"/>
      <c r="X85" s="29"/>
      <c r="Y85" s="13"/>
      <c r="Z85" s="13"/>
      <c r="AA85" s="13"/>
      <c r="AB85" s="13"/>
      <c r="AC85" s="13"/>
      <c r="AD85" s="59">
        <v>1</v>
      </c>
      <c r="AE85" s="59">
        <v>1</v>
      </c>
      <c r="AF85" s="59">
        <v>1</v>
      </c>
      <c r="AG85" s="59">
        <v>1</v>
      </c>
      <c r="AH85" s="59">
        <v>1</v>
      </c>
      <c r="AI85" s="59">
        <v>1</v>
      </c>
      <c r="AJ85" s="16"/>
      <c r="AK85" s="16"/>
      <c r="AL85" s="16"/>
      <c r="AM85" s="16"/>
      <c r="AN85" s="16"/>
      <c r="AO85" s="13"/>
      <c r="AP85" s="31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>
        <v>1</v>
      </c>
      <c r="BB85" s="16">
        <v>1</v>
      </c>
      <c r="BC85" s="16">
        <v>1</v>
      </c>
      <c r="BD85" s="16"/>
      <c r="BE85" s="16"/>
      <c r="BF85" s="16"/>
      <c r="BG85" s="16"/>
      <c r="BH85" s="16"/>
      <c r="BI85" s="16"/>
      <c r="BJ85" s="16"/>
      <c r="BK85" s="42"/>
      <c r="BM85" s="52"/>
    </row>
    <row r="86" spans="2:65" s="4" customFormat="1" ht="24" hidden="1" customHeight="1" x14ac:dyDescent="0.25">
      <c r="B86" s="75"/>
      <c r="C86" s="79"/>
      <c r="D86" s="79"/>
      <c r="E86" s="81"/>
      <c r="F86" s="81"/>
      <c r="G86" s="73"/>
      <c r="H86" s="73"/>
      <c r="I86" s="77"/>
      <c r="J86" s="73"/>
      <c r="K86" s="73"/>
      <c r="L86" s="14"/>
      <c r="M86" s="15"/>
      <c r="N86" s="15"/>
      <c r="O86" s="15"/>
      <c r="P86" s="15"/>
      <c r="Q86" s="15"/>
      <c r="R86" s="30"/>
      <c r="S86" s="15"/>
      <c r="T86" s="15"/>
      <c r="U86" s="15"/>
      <c r="V86" s="15"/>
      <c r="W86" s="15"/>
      <c r="X86" s="30"/>
      <c r="Y86" s="15"/>
      <c r="Z86" s="15"/>
      <c r="AA86" s="15"/>
      <c r="AB86" s="15"/>
      <c r="AC86" s="15"/>
      <c r="AD86" s="30"/>
      <c r="AE86" s="15"/>
      <c r="AF86" s="15"/>
      <c r="AG86" s="15"/>
      <c r="AH86" s="15"/>
      <c r="AI86" s="15"/>
      <c r="AJ86" s="17"/>
      <c r="AK86" s="17"/>
      <c r="AL86" s="17"/>
      <c r="AM86" s="17"/>
      <c r="AN86" s="17"/>
      <c r="AO86" s="15"/>
      <c r="AP86" s="32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43"/>
      <c r="BM86" s="52"/>
    </row>
    <row r="87" spans="2:65" s="4" customFormat="1" ht="24" hidden="1" customHeight="1" x14ac:dyDescent="0.25">
      <c r="B87" s="74">
        <v>30</v>
      </c>
      <c r="C87" s="78" t="s">
        <v>132</v>
      </c>
      <c r="D87" s="78" t="s">
        <v>133</v>
      </c>
      <c r="E87" s="80" t="s">
        <v>77</v>
      </c>
      <c r="F87" s="80" t="s">
        <v>173</v>
      </c>
      <c r="G87" s="83" t="s">
        <v>65</v>
      </c>
      <c r="H87" s="83" t="s">
        <v>79</v>
      </c>
      <c r="I87" s="76" t="str">
        <f>+IF(BM88=100%,"Terminado",IF(BM88=0%,"Por Ejecutar",IF(BM88="","","En Proceso")))</f>
        <v>Por Ejecutar</v>
      </c>
      <c r="J87" s="72">
        <f t="shared" si="2"/>
        <v>45782</v>
      </c>
      <c r="K87" s="83" t="s">
        <v>87</v>
      </c>
      <c r="L87" s="12"/>
      <c r="M87" s="13"/>
      <c r="N87" s="13"/>
      <c r="O87" s="13"/>
      <c r="P87" s="13"/>
      <c r="Q87" s="13"/>
      <c r="R87" s="29"/>
      <c r="S87" s="13"/>
      <c r="T87" s="13"/>
      <c r="U87" s="13"/>
      <c r="V87" s="13"/>
      <c r="W87" s="13"/>
      <c r="X87" s="29"/>
      <c r="Y87" s="13"/>
      <c r="Z87" s="13"/>
      <c r="AA87" s="13"/>
      <c r="AB87" s="13"/>
      <c r="AC87" s="13"/>
      <c r="AD87" s="59">
        <v>1</v>
      </c>
      <c r="AE87" s="59">
        <v>1</v>
      </c>
      <c r="AF87" s="59">
        <v>1</v>
      </c>
      <c r="AG87" s="59">
        <v>1</v>
      </c>
      <c r="AH87" s="59">
        <v>1</v>
      </c>
      <c r="AI87" s="59">
        <v>1</v>
      </c>
      <c r="AJ87" s="16"/>
      <c r="AK87" s="16"/>
      <c r="AL87" s="16"/>
      <c r="AM87" s="16"/>
      <c r="AN87" s="16"/>
      <c r="AO87" s="13"/>
      <c r="AP87" s="31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>
        <v>1</v>
      </c>
      <c r="BB87" s="16">
        <v>1</v>
      </c>
      <c r="BC87" s="16">
        <v>1</v>
      </c>
      <c r="BD87" s="16"/>
      <c r="BE87" s="16"/>
      <c r="BF87" s="16"/>
      <c r="BG87" s="16"/>
      <c r="BH87" s="16"/>
      <c r="BI87" s="16"/>
      <c r="BJ87" s="16"/>
      <c r="BK87" s="42"/>
      <c r="BM87" s="52"/>
    </row>
    <row r="88" spans="2:65" s="4" customFormat="1" ht="24" hidden="1" customHeight="1" x14ac:dyDescent="0.25">
      <c r="B88" s="75"/>
      <c r="C88" s="79"/>
      <c r="D88" s="79"/>
      <c r="E88" s="81"/>
      <c r="F88" s="81"/>
      <c r="G88" s="73"/>
      <c r="H88" s="73"/>
      <c r="I88" s="77"/>
      <c r="J88" s="73"/>
      <c r="K88" s="73"/>
      <c r="L88" s="14"/>
      <c r="M88" s="15"/>
      <c r="N88" s="15"/>
      <c r="O88" s="15"/>
      <c r="P88" s="15"/>
      <c r="Q88" s="15"/>
      <c r="R88" s="30"/>
      <c r="S88" s="15"/>
      <c r="T88" s="15"/>
      <c r="U88" s="15"/>
      <c r="V88" s="15"/>
      <c r="W88" s="15"/>
      <c r="X88" s="30"/>
      <c r="Y88" s="15"/>
      <c r="Z88" s="15"/>
      <c r="AA88" s="15"/>
      <c r="AB88" s="15"/>
      <c r="AC88" s="15"/>
      <c r="AD88" s="30"/>
      <c r="AE88" s="15"/>
      <c r="AF88" s="15"/>
      <c r="AG88" s="15"/>
      <c r="AH88" s="15"/>
      <c r="AI88" s="15"/>
      <c r="AJ88" s="17"/>
      <c r="AK88" s="17"/>
      <c r="AL88" s="17"/>
      <c r="AM88" s="17"/>
      <c r="AN88" s="17"/>
      <c r="AO88" s="15"/>
      <c r="AP88" s="32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43"/>
      <c r="BM88" s="52"/>
    </row>
    <row r="89" spans="2:65" s="4" customFormat="1" ht="24" hidden="1" customHeight="1" x14ac:dyDescent="0.25">
      <c r="B89" s="74">
        <v>31</v>
      </c>
      <c r="C89" s="78" t="s">
        <v>132</v>
      </c>
      <c r="D89" s="78" t="s">
        <v>133</v>
      </c>
      <c r="E89" s="80" t="s">
        <v>77</v>
      </c>
      <c r="F89" s="80" t="s">
        <v>174</v>
      </c>
      <c r="G89" s="83" t="s">
        <v>65</v>
      </c>
      <c r="H89" s="83" t="s">
        <v>79</v>
      </c>
      <c r="I89" s="76" t="str">
        <f>+IF(BM90=100%,"Terminado",IF(BM90=0%,"Por Ejecutar",IF(BM90="","","En Proceso")))</f>
        <v>Por Ejecutar</v>
      </c>
      <c r="J89" s="72">
        <f t="shared" si="2"/>
        <v>45782</v>
      </c>
      <c r="K89" s="83" t="s">
        <v>87</v>
      </c>
      <c r="L89" s="12"/>
      <c r="M89" s="13"/>
      <c r="N89" s="13"/>
      <c r="O89" s="13"/>
      <c r="P89" s="13"/>
      <c r="Q89" s="13"/>
      <c r="R89" s="29"/>
      <c r="S89" s="13"/>
      <c r="T89" s="13"/>
      <c r="U89" s="13"/>
      <c r="V89" s="13"/>
      <c r="W89" s="13"/>
      <c r="X89" s="29"/>
      <c r="Y89" s="13"/>
      <c r="Z89" s="13"/>
      <c r="AA89" s="13"/>
      <c r="AB89" s="13"/>
      <c r="AC89" s="13"/>
      <c r="AD89" s="59">
        <v>1</v>
      </c>
      <c r="AE89" s="59">
        <v>1</v>
      </c>
      <c r="AF89" s="59">
        <v>1</v>
      </c>
      <c r="AG89" s="59">
        <v>1</v>
      </c>
      <c r="AH89" s="59">
        <v>1</v>
      </c>
      <c r="AI89" s="59">
        <v>1</v>
      </c>
      <c r="AJ89" s="16"/>
      <c r="AK89" s="16"/>
      <c r="AL89" s="16"/>
      <c r="AM89" s="16"/>
      <c r="AN89" s="16"/>
      <c r="AO89" s="13"/>
      <c r="AP89" s="31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>
        <v>1</v>
      </c>
      <c r="BB89" s="16">
        <v>1</v>
      </c>
      <c r="BC89" s="16">
        <v>1</v>
      </c>
      <c r="BD89" s="16"/>
      <c r="BE89" s="16"/>
      <c r="BF89" s="16"/>
      <c r="BG89" s="16"/>
      <c r="BH89" s="16"/>
      <c r="BI89" s="16"/>
      <c r="BJ89" s="16"/>
      <c r="BK89" s="42"/>
      <c r="BM89" s="52"/>
    </row>
    <row r="90" spans="2:65" s="4" customFormat="1" ht="24" hidden="1" customHeight="1" x14ac:dyDescent="0.25">
      <c r="B90" s="75"/>
      <c r="C90" s="79"/>
      <c r="D90" s="79"/>
      <c r="E90" s="81"/>
      <c r="F90" s="81"/>
      <c r="G90" s="73"/>
      <c r="H90" s="73"/>
      <c r="I90" s="77"/>
      <c r="J90" s="73"/>
      <c r="K90" s="73"/>
      <c r="L90" s="14"/>
      <c r="M90" s="15"/>
      <c r="N90" s="15"/>
      <c r="O90" s="15"/>
      <c r="P90" s="15"/>
      <c r="Q90" s="15"/>
      <c r="R90" s="30"/>
      <c r="S90" s="15"/>
      <c r="T90" s="15"/>
      <c r="U90" s="15"/>
      <c r="V90" s="15"/>
      <c r="W90" s="15"/>
      <c r="X90" s="30"/>
      <c r="Y90" s="15"/>
      <c r="Z90" s="15"/>
      <c r="AA90" s="15"/>
      <c r="AB90" s="15"/>
      <c r="AC90" s="15"/>
      <c r="AD90" s="30"/>
      <c r="AE90" s="15"/>
      <c r="AF90" s="15"/>
      <c r="AG90" s="15"/>
      <c r="AH90" s="15"/>
      <c r="AI90" s="15"/>
      <c r="AJ90" s="17"/>
      <c r="AK90" s="17"/>
      <c r="AL90" s="17"/>
      <c r="AM90" s="17"/>
      <c r="AN90" s="17"/>
      <c r="AO90" s="15"/>
      <c r="AP90" s="32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43"/>
      <c r="BM90" s="52"/>
    </row>
    <row r="91" spans="2:65" s="4" customFormat="1" ht="24" hidden="1" customHeight="1" x14ac:dyDescent="0.25">
      <c r="B91" s="74">
        <v>32</v>
      </c>
      <c r="C91" s="78" t="s">
        <v>132</v>
      </c>
      <c r="D91" s="78" t="s">
        <v>84</v>
      </c>
      <c r="E91" s="78" t="s">
        <v>77</v>
      </c>
      <c r="F91" s="122" t="s">
        <v>218</v>
      </c>
      <c r="G91" s="83" t="s">
        <v>65</v>
      </c>
      <c r="H91" s="83" t="s">
        <v>79</v>
      </c>
      <c r="I91" s="76" t="str">
        <f>+IF(BM92=100%,"Terminado",IF(BM92=0%,"Por Ejecutar",IF(BM92="","","En Proceso")))</f>
        <v>Por Ejecutar</v>
      </c>
      <c r="J91" s="72">
        <f>IF(L91&gt;0,$L$27,IF(M91&gt;0,$M$27,IF(N91&gt;0,$N$27,IF(O91&gt;0,$O$27,IF(P91&gt;0,$P$27,IF(Q91&gt;0,$Q$27,IF(R91&gt;0,$R$27,IF(S91&gt;0,$S$27,IF(T91&gt;0,$T$27,IF(U91&gt;0,$U$27,IF(V91&gt;0,$V$27,IF(W91&gt;0,$W$27,IF(X91&gt;0,$X$27,IF(Y91&gt;0,$Y$27,IF(Z91&gt;0,$Z$27,IF(AA91&gt;0,$AA$27,IF(AB91&gt;0,$AB$27,IF(AC91&gt;0,$AC$27,IF(AD91&gt;0,$AD$27,IF(AE91&gt;0,$AE$27,IF(AF91&gt;0,$AF$27,IF(AG91&gt;0,$AG$27,IF(AH91&gt;0,$AH$27,IF(AI91&gt;0,$AI$27,IF(AJ91&gt;0,$AJ$27,IF(AK91&gt;0,$AK$27,IF(AL91&gt;0,$AL$27,IF(AM91&gt;0,$AM$27,IF(AN91&gt;0,$AN$27,IF(AO91&gt;0,$AO$27,IF(AP91&gt;0,$AP$27,IF(AQ91&gt;0,$AQ$27,IF(AR91&gt;0,$AR$27,IF(AS91&gt;0,$AS$27,IF(AT91&gt;0,$AT$27,IF(AU91&gt;0,$AU$27,IF(AV91&gt;0,$AV$27,IF(AW91&gt;0,$AW$27,IF(AX91&gt;0,$AX$27,IF(AY91&gt;0,$AY$27,IF(AZ91&gt;0,$AZ$27,IF(BA91&gt;0,$BA$27,IF(BB91&gt;0,$BB$27,IF(BC91&gt;0,$BC$27,IF(BD91&gt;0,$BD$27,IF(BE91&gt;0,$BE$27,IF(BF91&gt;0,$BF$27,IF(BG91&gt;0,$BG$27,IF(BH91&gt;0,$BH$27,IF(BI91&gt;0,$BI$27,IF(BJ91&gt;0,$BJ$27,IF(BK91&gt;0,$BK$27,))))))))))))))))))))))))))))))))))))))))))))))))))))</f>
        <v>45873</v>
      </c>
      <c r="K91" s="83" t="s">
        <v>91</v>
      </c>
      <c r="L91" s="12"/>
      <c r="M91" s="13"/>
      <c r="N91" s="13"/>
      <c r="O91" s="13"/>
      <c r="P91" s="13"/>
      <c r="Q91" s="13"/>
      <c r="R91" s="29"/>
      <c r="S91" s="13"/>
      <c r="T91" s="13"/>
      <c r="U91" s="13"/>
      <c r="V91" s="13"/>
      <c r="W91" s="13"/>
      <c r="X91" s="29"/>
      <c r="Y91" s="13"/>
      <c r="Z91" s="13"/>
      <c r="AA91" s="13"/>
      <c r="AB91" s="13"/>
      <c r="AC91" s="13"/>
      <c r="AD91" s="59"/>
      <c r="AE91" s="59"/>
      <c r="AF91" s="59"/>
      <c r="AG91" s="59"/>
      <c r="AH91" s="59"/>
      <c r="AI91" s="59"/>
      <c r="AJ91" s="16"/>
      <c r="AK91" s="16"/>
      <c r="AL91" s="16"/>
      <c r="AM91" s="16"/>
      <c r="AN91" s="16"/>
      <c r="AO91" s="13"/>
      <c r="AP91" s="31"/>
      <c r="AQ91" s="16">
        <v>1</v>
      </c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42"/>
      <c r="BM91" s="52"/>
    </row>
    <row r="92" spans="2:65" s="4" customFormat="1" ht="24" hidden="1" customHeight="1" x14ac:dyDescent="0.25">
      <c r="B92" s="75"/>
      <c r="C92" s="79"/>
      <c r="D92" s="79"/>
      <c r="E92" s="79"/>
      <c r="F92" s="79"/>
      <c r="G92" s="73"/>
      <c r="H92" s="73"/>
      <c r="I92" s="77"/>
      <c r="J92" s="73"/>
      <c r="K92" s="73"/>
      <c r="L92" s="14"/>
      <c r="M92" s="15"/>
      <c r="N92" s="15"/>
      <c r="O92" s="15"/>
      <c r="P92" s="15"/>
      <c r="Q92" s="15"/>
      <c r="R92" s="30"/>
      <c r="S92" s="15"/>
      <c r="T92" s="15"/>
      <c r="U92" s="15"/>
      <c r="V92" s="15"/>
      <c r="W92" s="15"/>
      <c r="X92" s="30"/>
      <c r="Y92" s="15"/>
      <c r="Z92" s="15"/>
      <c r="AA92" s="15"/>
      <c r="AB92" s="15"/>
      <c r="AC92" s="15"/>
      <c r="AD92" s="30"/>
      <c r="AE92" s="15"/>
      <c r="AF92" s="15"/>
      <c r="AG92" s="15"/>
      <c r="AH92" s="15"/>
      <c r="AI92" s="15"/>
      <c r="AJ92" s="17"/>
      <c r="AK92" s="17"/>
      <c r="AL92" s="17"/>
      <c r="AM92" s="17"/>
      <c r="AN92" s="17"/>
      <c r="AO92" s="15"/>
      <c r="AP92" s="32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43"/>
      <c r="BM92" s="52"/>
    </row>
    <row r="93" spans="2:65" s="4" customFormat="1" ht="24" hidden="1" customHeight="1" x14ac:dyDescent="0.25">
      <c r="B93" s="74">
        <v>33</v>
      </c>
      <c r="C93" s="78" t="s">
        <v>132</v>
      </c>
      <c r="D93" s="78" t="s">
        <v>133</v>
      </c>
      <c r="E93" s="80" t="s">
        <v>78</v>
      </c>
      <c r="F93" s="82" t="s">
        <v>154</v>
      </c>
      <c r="G93" s="83" t="s">
        <v>65</v>
      </c>
      <c r="H93" s="83" t="s">
        <v>79</v>
      </c>
      <c r="I93" s="76" t="str">
        <f>+IF(BM94=100%,"Terminado",IF(BM94=0%,"Por Ejecutar",IF(BM94="","","En Proceso")))</f>
        <v>Por Ejecutar</v>
      </c>
      <c r="J93" s="72">
        <f>IF(L93&gt;0,$L$27,IF(M93&gt;0,$M$27,IF(N93&gt;0,$N$27,IF(O93&gt;0,$O$27,IF(P93&gt;0,$P$27,IF(Q93&gt;0,$Q$27,IF(R93&gt;0,$R$27,IF(S93&gt;0,$S$27,IF(T93&gt;0,$T$27,IF(U93&gt;0,$U$27,IF(V93&gt;0,$V$27,IF(W93&gt;0,$W$27,IF(X93&gt;0,$X$27,IF(Y93&gt;0,$Y$27,IF(Z93&gt;0,$Z$27,IF(AA93&gt;0,$AA$27,IF(AB93&gt;0,$AB$27,IF(AC93&gt;0,$AC$27,IF(AD93&gt;0,$AD$27,IF(AE93&gt;0,$AE$27,IF(AF93&gt;0,$AF$27,IF(AG93&gt;0,$AG$27,IF(AH93&gt;0,$AH$27,IF(AI93&gt;0,$AI$27,IF(AJ93&gt;0,$AJ$27,IF(AK93&gt;0,$AK$27,IF(AL93&gt;0,$AL$27,IF(AM93&gt;0,$AM$27,IF(AN93&gt;0,$AN$27,IF(AO93&gt;0,$AO$27,IF(AP93&gt;0,$AP$27,IF(AQ93&gt;0,$AQ$27,IF(AR93&gt;0,$AR$27,IF(AS93&gt;0,$AS$27,IF(AT93&gt;0,$AT$27,IF(AU93&gt;0,$AU$27,IF(AV93&gt;0,$AV$27,IF(AW93&gt;0,$AW$27,IF(AX93&gt;0,$AX$27,IF(AY93&gt;0,$AY$27,IF(AZ93&gt;0,$AZ$27,IF(BA93&gt;0,$BA$27,IF(BB93&gt;0,$BB$27,IF(BC93&gt;0,$BC$27,IF(BD93&gt;0,$BD$27,IF(BE93&gt;0,$BE$27,IF(BF93&gt;0,$BF$27,IF(BG93&gt;0,$BG$27,IF(BH93&gt;0,$BH$27,IF(BI93&gt;0,$BI$27,IF(BJ93&gt;0,$BJ$27,IF(BK93&gt;0,$BK$27,))))))))))))))))))))))))))))))))))))))))))))))))))))</f>
        <v>45845</v>
      </c>
      <c r="K93" s="83" t="s">
        <v>92</v>
      </c>
      <c r="L93" s="12"/>
      <c r="M93" s="13"/>
      <c r="N93" s="13"/>
      <c r="O93" s="13"/>
      <c r="P93" s="13"/>
      <c r="Q93" s="13"/>
      <c r="R93" s="29"/>
      <c r="S93" s="13"/>
      <c r="T93" s="13"/>
      <c r="U93" s="13"/>
      <c r="V93" s="13"/>
      <c r="W93" s="13"/>
      <c r="X93" s="29"/>
      <c r="Y93" s="13"/>
      <c r="Z93" s="13"/>
      <c r="AA93" s="13"/>
      <c r="AB93" s="13"/>
      <c r="AC93" s="13"/>
      <c r="AD93" s="29"/>
      <c r="AE93" s="13"/>
      <c r="AF93" s="13"/>
      <c r="AG93" s="13"/>
      <c r="AH93" s="13"/>
      <c r="AI93" s="13"/>
      <c r="AJ93" s="16"/>
      <c r="AK93" s="16"/>
      <c r="AL93" s="16"/>
      <c r="AM93" s="16">
        <v>1</v>
      </c>
      <c r="AN93" s="16"/>
      <c r="AO93" s="13"/>
      <c r="AP93" s="31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42"/>
      <c r="BM93" s="24">
        <f>IFERROR(COUNTA(L93:BK93)/COUNTA(L93:BK93),"")</f>
        <v>1</v>
      </c>
    </row>
    <row r="94" spans="2:65" s="4" customFormat="1" ht="24" hidden="1" customHeight="1" x14ac:dyDescent="0.25">
      <c r="B94" s="75"/>
      <c r="C94" s="79"/>
      <c r="D94" s="79"/>
      <c r="E94" s="81"/>
      <c r="F94" s="82"/>
      <c r="G94" s="73"/>
      <c r="H94" s="73"/>
      <c r="I94" s="77"/>
      <c r="J94" s="73"/>
      <c r="K94" s="73"/>
      <c r="L94" s="14"/>
      <c r="M94" s="15"/>
      <c r="N94" s="15"/>
      <c r="O94" s="15"/>
      <c r="P94" s="15"/>
      <c r="Q94" s="15"/>
      <c r="R94" s="30"/>
      <c r="S94" s="15"/>
      <c r="T94" s="15"/>
      <c r="U94" s="15"/>
      <c r="V94" s="15"/>
      <c r="W94" s="15"/>
      <c r="X94" s="30"/>
      <c r="Y94" s="15"/>
      <c r="Z94" s="15"/>
      <c r="AA94" s="15"/>
      <c r="AB94" s="15"/>
      <c r="AC94" s="15"/>
      <c r="AD94" s="30"/>
      <c r="AE94" s="15"/>
      <c r="AF94" s="15"/>
      <c r="AG94" s="15"/>
      <c r="AH94" s="15"/>
      <c r="AI94" s="15"/>
      <c r="AJ94" s="17"/>
      <c r="AK94" s="17"/>
      <c r="AL94" s="17"/>
      <c r="AM94" s="17"/>
      <c r="AN94" s="17"/>
      <c r="AO94" s="15"/>
      <c r="AP94" s="32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43"/>
      <c r="BM94" s="28">
        <f>IFERROR(COUNTIF(L94:BK94,2)/COUNTIF(L93:BK93,1),"")</f>
        <v>0</v>
      </c>
    </row>
    <row r="95" spans="2:65" s="4" customFormat="1" ht="24" hidden="1" customHeight="1" x14ac:dyDescent="0.25">
      <c r="B95" s="74">
        <v>34</v>
      </c>
      <c r="C95" s="78" t="s">
        <v>132</v>
      </c>
      <c r="D95" s="78" t="s">
        <v>133</v>
      </c>
      <c r="E95" s="80" t="s">
        <v>78</v>
      </c>
      <c r="F95" s="82" t="s">
        <v>155</v>
      </c>
      <c r="G95" s="83" t="s">
        <v>65</v>
      </c>
      <c r="H95" s="83" t="s">
        <v>79</v>
      </c>
      <c r="I95" s="76" t="str">
        <f>+IF(BM96=100%,"Terminado",IF(BM96=0%,"Por Ejecutar",IF(BM96="","","En Proceso")))</f>
        <v>Por Ejecutar</v>
      </c>
      <c r="J95" s="72">
        <f>IF(L95&gt;0,$L$27,IF(M95&gt;0,$M$27,IF(N95&gt;0,$N$27,IF(O95&gt;0,$O$27,IF(P95&gt;0,$P$27,IF(Q95&gt;0,$Q$27,IF(R95&gt;0,$R$27,IF(S95&gt;0,$S$27,IF(T95&gt;0,$T$27,IF(U95&gt;0,$U$27,IF(V95&gt;0,$V$27,IF(W95&gt;0,$W$27,IF(X95&gt;0,$X$27,IF(Y95&gt;0,$Y$27,IF(Z95&gt;0,$Z$27,IF(AA95&gt;0,$AA$27,IF(AB95&gt;0,$AB$27,IF(AC95&gt;0,$AC$27,IF(AD95&gt;0,$AD$27,IF(AE95&gt;0,$AE$27,IF(AF95&gt;0,$AF$27,IF(AG95&gt;0,$AG$27,IF(AH95&gt;0,$AH$27,IF(AI95&gt;0,$AI$27,IF(AJ95&gt;0,$AJ$27,IF(AK95&gt;0,$AK$27,IF(AL95&gt;0,$AL$27,IF(AM95&gt;0,$AM$27,IF(AN95&gt;0,$AN$27,IF(AO95&gt;0,$AO$27,IF(AP95&gt;0,$AP$27,IF(AQ95&gt;0,$AQ$27,IF(AR95&gt;0,$AR$27,IF(AS95&gt;0,$AS$27,IF(AT95&gt;0,$AT$27,IF(AU95&gt;0,$AU$27,IF(AV95&gt;0,$AV$27,IF(AW95&gt;0,$AW$27,IF(AX95&gt;0,$AX$27,IF(AY95&gt;0,$AY$27,IF(AZ95&gt;0,$AZ$27,IF(BA95&gt;0,$BA$27,IF(BB95&gt;0,$BB$27,IF(BC95&gt;0,$BC$27,IF(BD95&gt;0,$BD$27,IF(BE95&gt;0,$BE$27,IF(BF95&gt;0,$BF$27,IF(BG95&gt;0,$BG$27,IF(BH95&gt;0,$BH$27,IF(BI95&gt;0,$BI$27,IF(BJ95&gt;0,$BJ$27,IF(BK95&gt;0,$BK$27,))))))))))))))))))))))))))))))))))))))))))))))))))))</f>
        <v>45831</v>
      </c>
      <c r="K95" s="83" t="s">
        <v>92</v>
      </c>
      <c r="L95" s="12"/>
      <c r="M95" s="13"/>
      <c r="N95" s="13"/>
      <c r="O95" s="13"/>
      <c r="P95" s="13"/>
      <c r="Q95" s="13"/>
      <c r="R95" s="29"/>
      <c r="S95" s="13"/>
      <c r="T95" s="13"/>
      <c r="U95" s="13"/>
      <c r="V95" s="13"/>
      <c r="W95" s="13"/>
      <c r="X95" s="29"/>
      <c r="Y95" s="13"/>
      <c r="Z95" s="13"/>
      <c r="AA95" s="13"/>
      <c r="AB95" s="13"/>
      <c r="AC95" s="13"/>
      <c r="AD95" s="29"/>
      <c r="AE95" s="13"/>
      <c r="AF95" s="13"/>
      <c r="AG95" s="13"/>
      <c r="AH95" s="13"/>
      <c r="AI95" s="13"/>
      <c r="AJ95" s="16"/>
      <c r="AK95" s="16">
        <v>1</v>
      </c>
      <c r="AL95" s="16"/>
      <c r="AM95" s="16"/>
      <c r="AN95" s="16"/>
      <c r="AO95" s="13"/>
      <c r="AP95" s="31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42"/>
      <c r="BM95" s="52"/>
    </row>
    <row r="96" spans="2:65" s="4" customFormat="1" ht="24" hidden="1" customHeight="1" x14ac:dyDescent="0.25">
      <c r="B96" s="75"/>
      <c r="C96" s="79"/>
      <c r="D96" s="79"/>
      <c r="E96" s="81"/>
      <c r="F96" s="82"/>
      <c r="G96" s="73"/>
      <c r="H96" s="73"/>
      <c r="I96" s="77"/>
      <c r="J96" s="73"/>
      <c r="K96" s="73"/>
      <c r="L96" s="14"/>
      <c r="M96" s="15"/>
      <c r="N96" s="15"/>
      <c r="O96" s="15"/>
      <c r="P96" s="15"/>
      <c r="Q96" s="15"/>
      <c r="R96" s="30"/>
      <c r="S96" s="15"/>
      <c r="T96" s="15"/>
      <c r="U96" s="15"/>
      <c r="V96" s="15"/>
      <c r="W96" s="15"/>
      <c r="X96" s="30"/>
      <c r="Y96" s="15"/>
      <c r="Z96" s="15"/>
      <c r="AA96" s="15"/>
      <c r="AB96" s="15"/>
      <c r="AC96" s="15"/>
      <c r="AD96" s="30"/>
      <c r="AE96" s="15"/>
      <c r="AF96" s="15"/>
      <c r="AG96" s="15"/>
      <c r="AH96" s="15"/>
      <c r="AI96" s="15"/>
      <c r="AJ96" s="17"/>
      <c r="AK96" s="17"/>
      <c r="AL96" s="17"/>
      <c r="AM96" s="17"/>
      <c r="AN96" s="17"/>
      <c r="AO96" s="15"/>
      <c r="AP96" s="32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43"/>
      <c r="BM96" s="52"/>
    </row>
    <row r="97" spans="2:65" s="4" customFormat="1" ht="24" hidden="1" customHeight="1" x14ac:dyDescent="0.25">
      <c r="B97" s="74">
        <v>35</v>
      </c>
      <c r="C97" s="78" t="s">
        <v>132</v>
      </c>
      <c r="D97" s="78" t="s">
        <v>133</v>
      </c>
      <c r="E97" s="80" t="s">
        <v>78</v>
      </c>
      <c r="F97" s="82" t="s">
        <v>156</v>
      </c>
      <c r="G97" s="83" t="s">
        <v>65</v>
      </c>
      <c r="H97" s="83" t="s">
        <v>79</v>
      </c>
      <c r="I97" s="76" t="str">
        <f>+IF(BM98=100%,"Terminado",IF(BM98=0%,"Por Ejecutar",IF(BM98="","","En Proceso")))</f>
        <v>Por Ejecutar</v>
      </c>
      <c r="J97" s="72">
        <f>IF(L97&gt;0,$L$27,IF(M97&gt;0,$M$27,IF(N97&gt;0,$N$27,IF(O97&gt;0,$O$27,IF(P97&gt;0,$P$27,IF(Q97&gt;0,$Q$27,IF(R97&gt;0,$R$27,IF(S97&gt;0,$S$27,IF(T97&gt;0,$T$27,IF(U97&gt;0,$U$27,IF(V97&gt;0,$V$27,IF(W97&gt;0,$W$27,IF(X97&gt;0,$X$27,IF(Y97&gt;0,$Y$27,IF(Z97&gt;0,$Z$27,IF(AA97&gt;0,$AA$27,IF(AB97&gt;0,$AB$27,IF(AC97&gt;0,$AC$27,IF(AD97&gt;0,$AD$27,IF(AE97&gt;0,$AE$27,IF(AF97&gt;0,$AF$27,IF(AG97&gt;0,$AG$27,IF(AH97&gt;0,$AH$27,IF(AI97&gt;0,$AI$27,IF(AJ97&gt;0,$AJ$27,IF(AK97&gt;0,$AK$27,IF(AL97&gt;0,$AL$27,IF(AM97&gt;0,$AM$27,IF(AN97&gt;0,$AN$27,IF(AO97&gt;0,$AO$27,IF(AP97&gt;0,$AP$27,IF(AQ97&gt;0,$AQ$27,IF(AR97&gt;0,$AR$27,IF(AS97&gt;0,$AS$27,IF(AT97&gt;0,$AT$27,IF(AU97&gt;0,$AU$27,IF(AV97&gt;0,$AV$27,IF(AW97&gt;0,$AW$27,IF(AX97&gt;0,$AX$27,IF(AY97&gt;0,$AY$27,IF(AZ97&gt;0,$AZ$27,IF(BA97&gt;0,$BA$27,IF(BB97&gt;0,$BB$27,IF(BC97&gt;0,$BC$27,IF(BD97&gt;0,$BD$27,IF(BE97&gt;0,$BE$27,IF(BF97&gt;0,$BF$27,IF(BG97&gt;0,$BG$27,IF(BH97&gt;0,$BH$27,IF(BI97&gt;0,$BI$27,IF(BJ97&gt;0,$BJ$27,IF(BK97&gt;0,$BK$27,))))))))))))))))))))))))))))))))))))))))))))))))))))</f>
        <v>45859</v>
      </c>
      <c r="K97" s="83" t="s">
        <v>92</v>
      </c>
      <c r="L97" s="12"/>
      <c r="M97" s="13"/>
      <c r="N97" s="13"/>
      <c r="O97" s="13"/>
      <c r="P97" s="13"/>
      <c r="Q97" s="13"/>
      <c r="R97" s="29"/>
      <c r="S97" s="13"/>
      <c r="T97" s="13"/>
      <c r="U97" s="13"/>
      <c r="V97" s="13"/>
      <c r="W97" s="13"/>
      <c r="X97" s="29"/>
      <c r="Y97" s="13"/>
      <c r="Z97" s="13"/>
      <c r="AA97" s="13"/>
      <c r="AB97" s="13"/>
      <c r="AC97" s="13"/>
      <c r="AD97" s="29"/>
      <c r="AE97" s="13"/>
      <c r="AF97" s="13"/>
      <c r="AG97" s="13"/>
      <c r="AH97" s="13"/>
      <c r="AI97" s="13"/>
      <c r="AJ97" s="16"/>
      <c r="AK97" s="16"/>
      <c r="AL97" s="16"/>
      <c r="AM97" s="16"/>
      <c r="AN97" s="16"/>
      <c r="AO97" s="13">
        <v>1</v>
      </c>
      <c r="AP97" s="31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42"/>
      <c r="BM97" s="52"/>
    </row>
    <row r="98" spans="2:65" s="4" customFormat="1" ht="24" hidden="1" customHeight="1" x14ac:dyDescent="0.25">
      <c r="B98" s="75"/>
      <c r="C98" s="79"/>
      <c r="D98" s="79"/>
      <c r="E98" s="81"/>
      <c r="F98" s="82"/>
      <c r="G98" s="73"/>
      <c r="H98" s="73"/>
      <c r="I98" s="77"/>
      <c r="J98" s="73"/>
      <c r="K98" s="73"/>
      <c r="L98" s="14"/>
      <c r="M98" s="15"/>
      <c r="N98" s="15"/>
      <c r="O98" s="15"/>
      <c r="P98" s="15"/>
      <c r="Q98" s="15"/>
      <c r="R98" s="30"/>
      <c r="S98" s="15"/>
      <c r="T98" s="15"/>
      <c r="U98" s="15"/>
      <c r="V98" s="15"/>
      <c r="W98" s="15"/>
      <c r="X98" s="30"/>
      <c r="Y98" s="15"/>
      <c r="Z98" s="15"/>
      <c r="AA98" s="15"/>
      <c r="AB98" s="15"/>
      <c r="AC98" s="15"/>
      <c r="AD98" s="30"/>
      <c r="AE98" s="15"/>
      <c r="AF98" s="15"/>
      <c r="AG98" s="15"/>
      <c r="AH98" s="15"/>
      <c r="AI98" s="15"/>
      <c r="AJ98" s="17"/>
      <c r="AK98" s="17"/>
      <c r="AL98" s="17"/>
      <c r="AM98" s="17"/>
      <c r="AN98" s="17"/>
      <c r="AO98" s="15"/>
      <c r="AP98" s="32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43"/>
      <c r="BM98" s="52"/>
    </row>
    <row r="99" spans="2:65" s="4" customFormat="1" ht="24" hidden="1" customHeight="1" x14ac:dyDescent="0.25">
      <c r="B99" s="74">
        <v>36</v>
      </c>
      <c r="C99" s="78" t="s">
        <v>132</v>
      </c>
      <c r="D99" s="78" t="s">
        <v>133</v>
      </c>
      <c r="E99" s="80" t="s">
        <v>78</v>
      </c>
      <c r="F99" s="82" t="s">
        <v>159</v>
      </c>
      <c r="G99" s="83" t="s">
        <v>65</v>
      </c>
      <c r="H99" s="83" t="s">
        <v>79</v>
      </c>
      <c r="I99" s="76" t="str">
        <f>+IF(BM100=100%,"Terminado",IF(BM100=0%,"Por Ejecutar",IF(BM100="","","En Proceso")))</f>
        <v>Por Ejecutar</v>
      </c>
      <c r="J99" s="72">
        <f>IF(L99&gt;0,$L$27,IF(M99&gt;0,$M$27,IF(N99&gt;0,$N$27,IF(O99&gt;0,$O$27,IF(P99&gt;0,$P$27,IF(Q99&gt;0,$Q$27,IF(R99&gt;0,$R$27,IF(S99&gt;0,$S$27,IF(T99&gt;0,$T$27,IF(U99&gt;0,$U$27,IF(V99&gt;0,$V$27,IF(W99&gt;0,$W$27,IF(X99&gt;0,$X$27,IF(Y99&gt;0,$Y$27,IF(Z99&gt;0,$Z$27,IF(AA99&gt;0,$AA$27,IF(AB99&gt;0,$AB$27,IF(AC99&gt;0,$AC$27,IF(AD99&gt;0,$AD$27,IF(AE99&gt;0,$AE$27,IF(AF99&gt;0,$AF$27,IF(AG99&gt;0,$AG$27,IF(AH99&gt;0,$AH$27,IF(AI99&gt;0,$AI$27,IF(AJ99&gt;0,$AJ$27,IF(AK99&gt;0,$AK$27,IF(AL99&gt;0,$AL$27,IF(AM99&gt;0,$AM$27,IF(AN99&gt;0,$AN$27,IF(AO99&gt;0,$AO$27,IF(AP99&gt;0,$AP$27,IF(AQ99&gt;0,$AQ$27,IF(AR99&gt;0,$AR$27,IF(AS99&gt;0,$AS$27,IF(AT99&gt;0,$AT$27,IF(AU99&gt;0,$AU$27,IF(AV99&gt;0,$AV$27,IF(AW99&gt;0,$AW$27,IF(AX99&gt;0,$AX$27,IF(AY99&gt;0,$AY$27,IF(AZ99&gt;0,$AZ$27,IF(BA99&gt;0,$BA$27,IF(BB99&gt;0,$BB$27,IF(BC99&gt;0,$BC$27,IF(BD99&gt;0,$BD$27,IF(BE99&gt;0,$BE$27,IF(BF99&gt;0,$BF$27,IF(BG99&gt;0,$BG$27,IF(BH99&gt;0,$BH$27,IF(BI99&gt;0,$BI$27,IF(BJ99&gt;0,$BJ$27,IF(BK99&gt;0,$BK$27,))))))))))))))))))))))))))))))))))))))))))))))))))))</f>
        <v>45887</v>
      </c>
      <c r="K99" s="83" t="s">
        <v>92</v>
      </c>
      <c r="L99" s="12"/>
      <c r="M99" s="13"/>
      <c r="N99" s="13"/>
      <c r="O99" s="13"/>
      <c r="P99" s="13"/>
      <c r="Q99" s="13"/>
      <c r="R99" s="29"/>
      <c r="S99" s="13"/>
      <c r="T99" s="13"/>
      <c r="U99" s="13"/>
      <c r="V99" s="13"/>
      <c r="W99" s="13"/>
      <c r="X99" s="29"/>
      <c r="Y99" s="13"/>
      <c r="Z99" s="13"/>
      <c r="AA99" s="13"/>
      <c r="AB99" s="13"/>
      <c r="AC99" s="13"/>
      <c r="AD99" s="29"/>
      <c r="AE99" s="13"/>
      <c r="AF99" s="13"/>
      <c r="AG99" s="13"/>
      <c r="AH99" s="13"/>
      <c r="AI99" s="13"/>
      <c r="AJ99" s="16"/>
      <c r="AK99" s="16"/>
      <c r="AL99" s="16"/>
      <c r="AM99" s="16"/>
      <c r="AN99" s="16"/>
      <c r="AO99" s="13"/>
      <c r="AP99" s="31"/>
      <c r="AQ99" s="16"/>
      <c r="AR99" s="16"/>
      <c r="AS99" s="16">
        <v>1</v>
      </c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42"/>
      <c r="BM99" s="52"/>
    </row>
    <row r="100" spans="2:65" s="4" customFormat="1" ht="24" hidden="1" customHeight="1" x14ac:dyDescent="0.25">
      <c r="B100" s="75"/>
      <c r="C100" s="79"/>
      <c r="D100" s="79"/>
      <c r="E100" s="81"/>
      <c r="F100" s="82"/>
      <c r="G100" s="73"/>
      <c r="H100" s="73"/>
      <c r="I100" s="77"/>
      <c r="J100" s="73"/>
      <c r="K100" s="73"/>
      <c r="L100" s="14"/>
      <c r="M100" s="15"/>
      <c r="N100" s="15"/>
      <c r="O100" s="15"/>
      <c r="P100" s="15"/>
      <c r="Q100" s="15"/>
      <c r="R100" s="30"/>
      <c r="S100" s="15"/>
      <c r="T100" s="15"/>
      <c r="U100" s="15"/>
      <c r="V100" s="15"/>
      <c r="W100" s="15"/>
      <c r="X100" s="30"/>
      <c r="Y100" s="15"/>
      <c r="Z100" s="15"/>
      <c r="AA100" s="15"/>
      <c r="AB100" s="15"/>
      <c r="AC100" s="15"/>
      <c r="AD100" s="30"/>
      <c r="AE100" s="15"/>
      <c r="AF100" s="15"/>
      <c r="AG100" s="15"/>
      <c r="AH100" s="15"/>
      <c r="AI100" s="15"/>
      <c r="AJ100" s="17"/>
      <c r="AK100" s="17"/>
      <c r="AL100" s="17"/>
      <c r="AM100" s="17"/>
      <c r="AN100" s="17"/>
      <c r="AO100" s="15"/>
      <c r="AP100" s="32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43"/>
      <c r="BM100" s="52"/>
    </row>
    <row r="101" spans="2:65" s="4" customFormat="1" ht="24" hidden="1" customHeight="1" x14ac:dyDescent="0.25">
      <c r="B101" s="74">
        <v>37</v>
      </c>
      <c r="C101" s="78" t="s">
        <v>132</v>
      </c>
      <c r="D101" s="78" t="s">
        <v>133</v>
      </c>
      <c r="E101" s="80" t="s">
        <v>78</v>
      </c>
      <c r="F101" s="82" t="s">
        <v>160</v>
      </c>
      <c r="G101" s="83" t="s">
        <v>65</v>
      </c>
      <c r="H101" s="83" t="s">
        <v>79</v>
      </c>
      <c r="I101" s="76" t="str">
        <f>+IF(BM102=100%,"Terminado",IF(BM102=0%,"Por Ejecutar",IF(BM102="","","En Proceso")))</f>
        <v>Por Ejecutar</v>
      </c>
      <c r="J101" s="72">
        <f>IF(L101&gt;0,$L$27,IF(M101&gt;0,$M$27,IF(N101&gt;0,$N$27,IF(O101&gt;0,$O$27,IF(P101&gt;0,$P$27,IF(Q101&gt;0,$Q$27,IF(R101&gt;0,$R$27,IF(S101&gt;0,$S$27,IF(T101&gt;0,$T$27,IF(U101&gt;0,$U$27,IF(V101&gt;0,$V$27,IF(W101&gt;0,$W$27,IF(X101&gt;0,$X$27,IF(Y101&gt;0,$Y$27,IF(Z101&gt;0,$Z$27,IF(AA101&gt;0,$AA$27,IF(AB101&gt;0,$AB$27,IF(AC101&gt;0,$AC$27,IF(AD101&gt;0,$AD$27,IF(AE101&gt;0,$AE$27,IF(AF101&gt;0,$AF$27,IF(AG101&gt;0,$AG$27,IF(AH101&gt;0,$AH$27,IF(AI101&gt;0,$AI$27,IF(AJ101&gt;0,$AJ$27,IF(AK101&gt;0,$AK$27,IF(AL101&gt;0,$AL$27,IF(AM101&gt;0,$AM$27,IF(AN101&gt;0,$AN$27,IF(AO101&gt;0,$AO$27,IF(AP101&gt;0,$AP$27,IF(AQ101&gt;0,$AQ$27,IF(AR101&gt;0,$AR$27,IF(AS101&gt;0,$AS$27,IF(AT101&gt;0,$AT$27,IF(AU101&gt;0,$AU$27,IF(AV101&gt;0,$AV$27,IF(AW101&gt;0,$AW$27,IF(AX101&gt;0,$AX$27,IF(AY101&gt;0,$AY$27,IF(AZ101&gt;0,$AZ$27,IF(BA101&gt;0,$BA$27,IF(BB101&gt;0,$BB$27,IF(BC101&gt;0,$BC$27,IF(BD101&gt;0,$BD$27,IF(BE101&gt;0,$BE$27,IF(BF101&gt;0,$BF$27,IF(BG101&gt;0,$BG$27,IF(BH101&gt;0,$BH$27,IF(BI101&gt;0,$BI$27,IF(BJ101&gt;0,$BJ$27,IF(BK101&gt;0,$BK$27,))))))))))))))))))))))))))))))))))))))))))))))))))))</f>
        <v>45817</v>
      </c>
      <c r="K101" s="83" t="s">
        <v>92</v>
      </c>
      <c r="L101" s="12"/>
      <c r="M101" s="13"/>
      <c r="N101" s="13"/>
      <c r="O101" s="13"/>
      <c r="P101" s="13"/>
      <c r="Q101" s="13"/>
      <c r="R101" s="29"/>
      <c r="S101" s="13"/>
      <c r="T101" s="13"/>
      <c r="U101" s="13"/>
      <c r="V101" s="13"/>
      <c r="W101" s="13"/>
      <c r="X101" s="29"/>
      <c r="Y101" s="13"/>
      <c r="Z101" s="13"/>
      <c r="AA101" s="13"/>
      <c r="AB101" s="13"/>
      <c r="AC101" s="13"/>
      <c r="AD101" s="29"/>
      <c r="AE101" s="13"/>
      <c r="AF101" s="13"/>
      <c r="AG101" s="13"/>
      <c r="AH101" s="13"/>
      <c r="AI101" s="13">
        <v>1</v>
      </c>
      <c r="AJ101" s="16"/>
      <c r="AK101" s="16"/>
      <c r="AL101" s="16"/>
      <c r="AM101" s="16"/>
      <c r="AN101" s="16"/>
      <c r="AO101" s="13"/>
      <c r="AP101" s="31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42"/>
      <c r="BM101" s="52"/>
    </row>
    <row r="102" spans="2:65" s="4" customFormat="1" ht="24" hidden="1" customHeight="1" x14ac:dyDescent="0.25">
      <c r="B102" s="75"/>
      <c r="C102" s="79"/>
      <c r="D102" s="79"/>
      <c r="E102" s="81"/>
      <c r="F102" s="82"/>
      <c r="G102" s="73"/>
      <c r="H102" s="73"/>
      <c r="I102" s="77"/>
      <c r="J102" s="73"/>
      <c r="K102" s="73"/>
      <c r="L102" s="14"/>
      <c r="M102" s="15"/>
      <c r="N102" s="15"/>
      <c r="O102" s="15"/>
      <c r="P102" s="15"/>
      <c r="Q102" s="15"/>
      <c r="R102" s="30"/>
      <c r="S102" s="15"/>
      <c r="T102" s="15"/>
      <c r="U102" s="15"/>
      <c r="V102" s="15"/>
      <c r="W102" s="15"/>
      <c r="X102" s="30"/>
      <c r="Y102" s="15"/>
      <c r="Z102" s="15"/>
      <c r="AA102" s="15"/>
      <c r="AB102" s="15"/>
      <c r="AC102" s="15"/>
      <c r="AD102" s="30"/>
      <c r="AE102" s="15"/>
      <c r="AF102" s="15"/>
      <c r="AG102" s="15"/>
      <c r="AH102" s="15"/>
      <c r="AI102" s="15"/>
      <c r="AJ102" s="17"/>
      <c r="AK102" s="17"/>
      <c r="AL102" s="17"/>
      <c r="AM102" s="17"/>
      <c r="AN102" s="17"/>
      <c r="AO102" s="15"/>
      <c r="AP102" s="32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43"/>
      <c r="BM102" s="52"/>
    </row>
    <row r="103" spans="2:65" s="4" customFormat="1" ht="24" hidden="1" customHeight="1" x14ac:dyDescent="0.25">
      <c r="B103" s="74">
        <v>38</v>
      </c>
      <c r="C103" s="78" t="s">
        <v>132</v>
      </c>
      <c r="D103" s="78" t="s">
        <v>152</v>
      </c>
      <c r="E103" s="80" t="s">
        <v>77</v>
      </c>
      <c r="F103" s="84" t="s">
        <v>151</v>
      </c>
      <c r="G103" s="83" t="s">
        <v>65</v>
      </c>
      <c r="H103" s="83" t="s">
        <v>79</v>
      </c>
      <c r="I103" s="76" t="str">
        <f>+IF(BM104=100%,"Terminado",IF(BM104=0%,"Por Ejecutar",IF(BM104="","","En Proceso")))</f>
        <v>Por Ejecutar</v>
      </c>
      <c r="J103" s="72">
        <f>IF(L103&gt;0,$L$27,IF(M103&gt;0,$M$27,IF(N103&gt;0,$N$27,IF(O103&gt;0,$O$27,IF(P103&gt;0,$P$27,IF(Q103&gt;0,$Q$27,IF(R103&gt;0,$R$27,IF(S103&gt;0,$S$27,IF(T103&gt;0,$T$27,IF(U103&gt;0,$U$27,IF(V103&gt;0,$V$27,IF(W103&gt;0,$W$27,IF(X103&gt;0,$X$27,IF(Y103&gt;0,$Y$27,IF(Z103&gt;0,$Z$27,IF(AA103&gt;0,$AA$27,IF(AB103&gt;0,$AB$27,IF(AC103&gt;0,$AC$27,IF(AD103&gt;0,$AD$27,IF(AE103&gt;0,$AE$27,IF(AF103&gt;0,$AF$27,IF(AG103&gt;0,$AG$27,IF(AH103&gt;0,$AH$27,IF(AI103&gt;0,$AI$27,IF(AJ103&gt;0,$AJ$27,IF(AK103&gt;0,$AK$27,IF(AL103&gt;0,$AL$27,IF(AM103&gt;0,$AM$27,IF(AN103&gt;0,$AN$27,IF(AO103&gt;0,$AO$27,IF(AP103&gt;0,$AP$27,IF(AQ103&gt;0,$AQ$27,IF(AR103&gt;0,$AR$27,IF(AS103&gt;0,$AS$27,IF(AT103&gt;0,$AT$27,IF(AU103&gt;0,$AU$27,IF(AV103&gt;0,$AV$27,IF(AW103&gt;0,$AW$27,IF(AX103&gt;0,$AX$27,IF(AY103&gt;0,$AY$27,IF(AZ103&gt;0,$AZ$27,IF(BA103&gt;0,$BA$27,IF(BB103&gt;0,$BB$27,IF(BC103&gt;0,$BC$27,IF(BD103&gt;0,$BD$27,IF(BE103&gt;0,$BE$27,IF(BF103&gt;0,$BF$27,IF(BG103&gt;0,$BG$27,IF(BH103&gt;0,$BH$27,IF(BI103&gt;0,$BI$27,IF(BJ103&gt;0,$BJ$27,IF(BK103&gt;0,$BK$27,))))))))))))))))))))))))))))))))))))))))))))))))))))</f>
        <v>45782</v>
      </c>
      <c r="K103" s="83" t="s">
        <v>233</v>
      </c>
      <c r="L103" s="12"/>
      <c r="M103" s="13"/>
      <c r="N103" s="13"/>
      <c r="O103" s="13"/>
      <c r="P103" s="13"/>
      <c r="Q103" s="13"/>
      <c r="R103" s="29"/>
      <c r="S103" s="13"/>
      <c r="T103" s="13"/>
      <c r="U103" s="13"/>
      <c r="V103" s="13"/>
      <c r="W103" s="13"/>
      <c r="X103" s="29"/>
      <c r="Y103" s="13"/>
      <c r="Z103" s="13"/>
      <c r="AA103" s="13"/>
      <c r="AB103" s="13"/>
      <c r="AC103" s="13"/>
      <c r="AD103" s="59">
        <v>1</v>
      </c>
      <c r="AE103" s="59">
        <v>1</v>
      </c>
      <c r="AF103" s="59">
        <v>1</v>
      </c>
      <c r="AG103" s="59">
        <v>1</v>
      </c>
      <c r="AH103" s="59">
        <v>1</v>
      </c>
      <c r="AI103" s="59">
        <v>1</v>
      </c>
      <c r="AJ103" s="16"/>
      <c r="AK103" s="16"/>
      <c r="AL103" s="16"/>
      <c r="AM103" s="16"/>
      <c r="AN103" s="16"/>
      <c r="AO103" s="13"/>
      <c r="AP103" s="31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>
        <v>1</v>
      </c>
      <c r="BB103" s="16">
        <v>1</v>
      </c>
      <c r="BC103" s="16">
        <v>1</v>
      </c>
      <c r="BD103" s="16"/>
      <c r="BE103" s="16"/>
      <c r="BF103" s="16"/>
      <c r="BG103" s="16"/>
      <c r="BH103" s="16"/>
      <c r="BI103" s="16"/>
      <c r="BJ103" s="16"/>
      <c r="BK103" s="42"/>
      <c r="BM103" s="24">
        <f>IFERROR(COUNTA(L103:BK103)/COUNTA(L103:BK103),"")</f>
        <v>1</v>
      </c>
    </row>
    <row r="104" spans="2:65" s="4" customFormat="1" ht="24" hidden="1" customHeight="1" x14ac:dyDescent="0.25">
      <c r="B104" s="75"/>
      <c r="C104" s="79"/>
      <c r="D104" s="79"/>
      <c r="E104" s="81"/>
      <c r="F104" s="82"/>
      <c r="G104" s="73"/>
      <c r="H104" s="73"/>
      <c r="I104" s="77"/>
      <c r="J104" s="73"/>
      <c r="K104" s="73"/>
      <c r="L104" s="14"/>
      <c r="M104" s="15"/>
      <c r="N104" s="15"/>
      <c r="O104" s="15"/>
      <c r="P104" s="15"/>
      <c r="Q104" s="15"/>
      <c r="R104" s="30"/>
      <c r="S104" s="15"/>
      <c r="T104" s="15"/>
      <c r="U104" s="15"/>
      <c r="V104" s="15"/>
      <c r="W104" s="15"/>
      <c r="X104" s="30"/>
      <c r="Y104" s="15"/>
      <c r="Z104" s="15"/>
      <c r="AA104" s="15"/>
      <c r="AB104" s="15"/>
      <c r="AC104" s="15"/>
      <c r="AD104" s="30"/>
      <c r="AE104" s="15"/>
      <c r="AF104" s="15"/>
      <c r="AG104" s="15"/>
      <c r="AH104" s="15"/>
      <c r="AI104" s="15"/>
      <c r="AJ104" s="17"/>
      <c r="AK104" s="17"/>
      <c r="AL104" s="17"/>
      <c r="AM104" s="17"/>
      <c r="AN104" s="17"/>
      <c r="AO104" s="15"/>
      <c r="AP104" s="32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43"/>
      <c r="BM104" s="28">
        <f>IFERROR(COUNTIF(L104:BK104,2)/COUNTIF(L103:BK103,1),"")</f>
        <v>0</v>
      </c>
    </row>
    <row r="105" spans="2:65" s="4" customFormat="1" ht="24" hidden="1" customHeight="1" x14ac:dyDescent="0.25">
      <c r="B105" s="74">
        <v>39</v>
      </c>
      <c r="C105" s="78" t="s">
        <v>132</v>
      </c>
      <c r="D105" s="78" t="s">
        <v>135</v>
      </c>
      <c r="E105" s="80" t="s">
        <v>76</v>
      </c>
      <c r="F105" s="82" t="s">
        <v>148</v>
      </c>
      <c r="G105" s="83" t="s">
        <v>65</v>
      </c>
      <c r="H105" s="83" t="s">
        <v>79</v>
      </c>
      <c r="I105" s="76" t="str">
        <f>+IF(BM106=100%,"Terminado",IF(BM106=0%,"Por Ejecutar",IF(BM106="","","En Proceso")))</f>
        <v>Por Ejecutar</v>
      </c>
      <c r="J105" s="72">
        <f>IF(L105&gt;0,$L$27,IF(M105&gt;0,$M$27,IF(N105&gt;0,$N$27,IF(O105&gt;0,$O$27,IF(P105&gt;0,$P$27,IF(Q105&gt;0,$Q$27,IF(R105&gt;0,$R$27,IF(S105&gt;0,$S$27,IF(T105&gt;0,$T$27,IF(U105&gt;0,$U$27,IF(V105&gt;0,$V$27,IF(W105&gt;0,$W$27,IF(X105&gt;0,$X$27,IF(Y105&gt;0,$Y$27,IF(Z105&gt;0,$Z$27,IF(AA105&gt;0,$AA$27,IF(AB105&gt;0,$AB$27,IF(AC105&gt;0,$AC$27,IF(AD105&gt;0,$AD$27,IF(AE105&gt;0,$AE$27,IF(AF105&gt;0,$AF$27,IF(AG105&gt;0,$AG$27,IF(AH105&gt;0,$AH$27,IF(AI105&gt;0,$AI$27,IF(AJ105&gt;0,$AJ$27,IF(AK105&gt;0,$AK$27,IF(AL105&gt;0,$AL$27,IF(AM105&gt;0,$AM$27,IF(AN105&gt;0,$AN$27,IF(AO105&gt;0,$AO$27,IF(AP105&gt;0,$AP$27,IF(AQ105&gt;0,$AQ$27,IF(AR105&gt;0,$AR$27,IF(AS105&gt;0,$AS$27,IF(AT105&gt;0,$AT$27,IF(AU105&gt;0,$AU$27,IF(AV105&gt;0,$AV$27,IF(AW105&gt;0,$AW$27,IF(AX105&gt;0,$AX$27,IF(AY105&gt;0,$AY$27,IF(AZ105&gt;0,$AZ$27,IF(BA105&gt;0,$BA$27,IF(BB105&gt;0,$BB$27,IF(BC105&gt;0,$BC$27,IF(BD105&gt;0,$BD$27,IF(BE105&gt;0,$BE$27,IF(BF105&gt;0,$BF$27,IF(BG105&gt;0,$BG$27,IF(BH105&gt;0,$BH$27,IF(BI105&gt;0,$BI$27,IF(BJ105&gt;0,$BJ$27,IF(BK105&gt;0,$BK$27,))))))))))))))))))))))))))))))))))))))))))))))))))))</f>
        <v>45901</v>
      </c>
      <c r="K105" s="83" t="s">
        <v>92</v>
      </c>
      <c r="L105" s="12"/>
      <c r="M105" s="13"/>
      <c r="N105" s="13"/>
      <c r="O105" s="13"/>
      <c r="P105" s="13"/>
      <c r="Q105" s="13"/>
      <c r="R105" s="29"/>
      <c r="S105" s="13"/>
      <c r="T105" s="13"/>
      <c r="U105" s="13"/>
      <c r="V105" s="13"/>
      <c r="W105" s="13"/>
      <c r="X105" s="29"/>
      <c r="Y105" s="13"/>
      <c r="Z105" s="13"/>
      <c r="AA105" s="13"/>
      <c r="AB105" s="13"/>
      <c r="AC105" s="13"/>
      <c r="AD105" s="29"/>
      <c r="AE105" s="13"/>
      <c r="AF105" s="13"/>
      <c r="AG105" s="13"/>
      <c r="AH105" s="13"/>
      <c r="AI105" s="13"/>
      <c r="AJ105" s="16"/>
      <c r="AK105" s="16"/>
      <c r="AL105" s="16"/>
      <c r="AM105" s="16"/>
      <c r="AN105" s="16"/>
      <c r="AO105" s="13"/>
      <c r="AP105" s="31"/>
      <c r="AQ105" s="16"/>
      <c r="AR105" s="16"/>
      <c r="AS105" s="16"/>
      <c r="AT105" s="16"/>
      <c r="AU105" s="16">
        <v>1</v>
      </c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42"/>
      <c r="BM105" s="24">
        <f>IFERROR(COUNTA(L105:BK105)/COUNTA(L105:BK105),"")</f>
        <v>1</v>
      </c>
    </row>
    <row r="106" spans="2:65" s="4" customFormat="1" ht="24" hidden="1" customHeight="1" x14ac:dyDescent="0.25">
      <c r="B106" s="75"/>
      <c r="C106" s="79"/>
      <c r="D106" s="79"/>
      <c r="E106" s="81"/>
      <c r="F106" s="82"/>
      <c r="G106" s="73"/>
      <c r="H106" s="73"/>
      <c r="I106" s="77"/>
      <c r="J106" s="73"/>
      <c r="K106" s="73"/>
      <c r="L106" s="14"/>
      <c r="M106" s="15"/>
      <c r="N106" s="15"/>
      <c r="O106" s="15"/>
      <c r="P106" s="15"/>
      <c r="Q106" s="15"/>
      <c r="R106" s="30"/>
      <c r="S106" s="15"/>
      <c r="T106" s="15"/>
      <c r="U106" s="15"/>
      <c r="V106" s="15"/>
      <c r="W106" s="15"/>
      <c r="X106" s="30"/>
      <c r="Y106" s="15"/>
      <c r="Z106" s="15"/>
      <c r="AA106" s="15"/>
      <c r="AB106" s="15"/>
      <c r="AC106" s="15"/>
      <c r="AD106" s="30"/>
      <c r="AE106" s="15"/>
      <c r="AF106" s="15"/>
      <c r="AG106" s="15"/>
      <c r="AH106" s="15"/>
      <c r="AI106" s="15"/>
      <c r="AJ106" s="17"/>
      <c r="AK106" s="17"/>
      <c r="AL106" s="17"/>
      <c r="AM106" s="17"/>
      <c r="AN106" s="17"/>
      <c r="AO106" s="15"/>
      <c r="AP106" s="32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43"/>
      <c r="BM106" s="28">
        <f>IFERROR(COUNTIF(L106:BK106,2)/COUNTIF(L105:BK105,1),"")</f>
        <v>0</v>
      </c>
    </row>
    <row r="107" spans="2:65" s="4" customFormat="1" ht="24" hidden="1" customHeight="1" x14ac:dyDescent="0.25">
      <c r="B107" s="74">
        <v>40</v>
      </c>
      <c r="C107" s="78" t="s">
        <v>132</v>
      </c>
      <c r="D107" s="78" t="s">
        <v>135</v>
      </c>
      <c r="E107" s="80" t="s">
        <v>76</v>
      </c>
      <c r="F107" s="82" t="s">
        <v>149</v>
      </c>
      <c r="G107" s="83" t="s">
        <v>65</v>
      </c>
      <c r="H107" s="83" t="s">
        <v>79</v>
      </c>
      <c r="I107" s="76" t="str">
        <f>+IF(BM108=100%,"Terminado",IF(BM108=0%,"Por Ejecutar",IF(BM108="","","En Proceso")))</f>
        <v>Por Ejecutar</v>
      </c>
      <c r="J107" s="72">
        <f>IF(L107&gt;0,$L$27,IF(M107&gt;0,$M$27,IF(N107&gt;0,$N$27,IF(O107&gt;0,$O$27,IF(P107&gt;0,$P$27,IF(Q107&gt;0,$Q$27,IF(R107&gt;0,$R$27,IF(S107&gt;0,$S$27,IF(T107&gt;0,$T$27,IF(U107&gt;0,$U$27,IF(V107&gt;0,$V$27,IF(W107&gt;0,$W$27,IF(X107&gt;0,$X$27,IF(Y107&gt;0,$Y$27,IF(Z107&gt;0,$Z$27,IF(AA107&gt;0,$AA$27,IF(AB107&gt;0,$AB$27,IF(AC107&gt;0,$AC$27,IF(AD107&gt;0,$AD$27,IF(AE107&gt;0,$AE$27,IF(AF107&gt;0,$AF$27,IF(AG107&gt;0,$AG$27,IF(AH107&gt;0,$AH$27,IF(AI107&gt;0,$AI$27,IF(AJ107&gt;0,$AJ$27,IF(AK107&gt;0,$AK$27,IF(AL107&gt;0,$AL$27,IF(AM107&gt;0,$AM$27,IF(AN107&gt;0,$AN$27,IF(AO107&gt;0,$AO$27,IF(AP107&gt;0,$AP$27,IF(AQ107&gt;0,$AQ$27,IF(AR107&gt;0,$AR$27,IF(AS107&gt;0,$AS$27,IF(AT107&gt;0,$AT$27,IF(AU107&gt;0,$AU$27,IF(AV107&gt;0,$AV$27,IF(AW107&gt;0,$AW$27,IF(AX107&gt;0,$AX$27,IF(AY107&gt;0,$AY$27,IF(AZ107&gt;0,$AZ$27,IF(BA107&gt;0,$BA$27,IF(BB107&gt;0,$BB$27,IF(BC107&gt;0,$BC$27,IF(BD107&gt;0,$BD$27,IF(BE107&gt;0,$BE$27,IF(BF107&gt;0,$BF$27,IF(BG107&gt;0,$BG$27,IF(BH107&gt;0,$BH$27,IF(BI107&gt;0,$BI$27,IF(BJ107&gt;0,$BJ$27,IF(BK107&gt;0,$BK$27,))))))))))))))))))))))))))))))))))))))))))))))))))))</f>
        <v>45915</v>
      </c>
      <c r="K107" s="83" t="s">
        <v>92</v>
      </c>
      <c r="L107" s="12"/>
      <c r="M107" s="13"/>
      <c r="N107" s="13"/>
      <c r="O107" s="13"/>
      <c r="P107" s="13"/>
      <c r="Q107" s="13"/>
      <c r="R107" s="29"/>
      <c r="S107" s="13"/>
      <c r="T107" s="13"/>
      <c r="U107" s="13"/>
      <c r="V107" s="13"/>
      <c r="W107" s="13"/>
      <c r="X107" s="29"/>
      <c r="Y107" s="13"/>
      <c r="Z107" s="13"/>
      <c r="AA107" s="13"/>
      <c r="AB107" s="13"/>
      <c r="AC107" s="13"/>
      <c r="AD107" s="29"/>
      <c r="AE107" s="13"/>
      <c r="AF107" s="13"/>
      <c r="AG107" s="13"/>
      <c r="AH107" s="13"/>
      <c r="AI107" s="13"/>
      <c r="AJ107" s="16"/>
      <c r="AK107" s="16"/>
      <c r="AL107" s="16"/>
      <c r="AM107" s="16"/>
      <c r="AN107" s="16"/>
      <c r="AO107" s="13"/>
      <c r="AP107" s="31"/>
      <c r="AQ107" s="16"/>
      <c r="AR107" s="16"/>
      <c r="AS107" s="16"/>
      <c r="AT107" s="16"/>
      <c r="AU107" s="16"/>
      <c r="AV107" s="16"/>
      <c r="AW107" s="16">
        <v>1</v>
      </c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42"/>
      <c r="BM107" s="52"/>
    </row>
    <row r="108" spans="2:65" s="4" customFormat="1" ht="24" hidden="1" customHeight="1" x14ac:dyDescent="0.25">
      <c r="B108" s="75"/>
      <c r="C108" s="79"/>
      <c r="D108" s="79"/>
      <c r="E108" s="81"/>
      <c r="F108" s="82"/>
      <c r="G108" s="73"/>
      <c r="H108" s="73"/>
      <c r="I108" s="77"/>
      <c r="J108" s="73"/>
      <c r="K108" s="73"/>
      <c r="L108" s="14"/>
      <c r="M108" s="15"/>
      <c r="N108" s="15"/>
      <c r="O108" s="15"/>
      <c r="P108" s="15"/>
      <c r="Q108" s="15"/>
      <c r="R108" s="30"/>
      <c r="S108" s="15"/>
      <c r="T108" s="15"/>
      <c r="U108" s="15"/>
      <c r="V108" s="15"/>
      <c r="W108" s="15"/>
      <c r="X108" s="30"/>
      <c r="Y108" s="15"/>
      <c r="Z108" s="15"/>
      <c r="AA108" s="15"/>
      <c r="AB108" s="15"/>
      <c r="AC108" s="15"/>
      <c r="AD108" s="30"/>
      <c r="AE108" s="15"/>
      <c r="AF108" s="15"/>
      <c r="AG108" s="15"/>
      <c r="AH108" s="15"/>
      <c r="AI108" s="15"/>
      <c r="AJ108" s="17"/>
      <c r="AK108" s="17"/>
      <c r="AL108" s="17"/>
      <c r="AM108" s="17"/>
      <c r="AN108" s="17"/>
      <c r="AO108" s="15"/>
      <c r="AP108" s="32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43"/>
      <c r="BM108" s="52"/>
    </row>
    <row r="109" spans="2:65" s="4" customFormat="1" ht="24" hidden="1" customHeight="1" x14ac:dyDescent="0.25">
      <c r="B109" s="74">
        <v>41</v>
      </c>
      <c r="C109" s="78" t="s">
        <v>132</v>
      </c>
      <c r="D109" s="78" t="s">
        <v>135</v>
      </c>
      <c r="E109" s="80" t="s">
        <v>76</v>
      </c>
      <c r="F109" s="82" t="s">
        <v>150</v>
      </c>
      <c r="G109" s="83" t="s">
        <v>65</v>
      </c>
      <c r="H109" s="83" t="s">
        <v>79</v>
      </c>
      <c r="I109" s="76" t="str">
        <f>+IF(BM110=100%,"Terminado",IF(BM110=0%,"Por Ejecutar",IF(BM110="","","En Proceso")))</f>
        <v>Por Ejecutar</v>
      </c>
      <c r="J109" s="72">
        <f>IF(L109&gt;0,$L$27,IF(M109&gt;0,$M$27,IF(N109&gt;0,$N$27,IF(O109&gt;0,$O$27,IF(P109&gt;0,$P$27,IF(Q109&gt;0,$Q$27,IF(R109&gt;0,$R$27,IF(S109&gt;0,$S$27,IF(T109&gt;0,$T$27,IF(U109&gt;0,$U$27,IF(V109&gt;0,$V$27,IF(W109&gt;0,$W$27,IF(X109&gt;0,$X$27,IF(Y109&gt;0,$Y$27,IF(Z109&gt;0,$Z$27,IF(AA109&gt;0,$AA$27,IF(AB109&gt;0,$AB$27,IF(AC109&gt;0,$AC$27,IF(AD109&gt;0,$AD$27,IF(AE109&gt;0,$AE$27,IF(AF109&gt;0,$AF$27,IF(AG109&gt;0,$AG$27,IF(AH109&gt;0,$AH$27,IF(AI109&gt;0,$AI$27,IF(AJ109&gt;0,$AJ$27,IF(AK109&gt;0,$AK$27,IF(AL109&gt;0,$AL$27,IF(AM109&gt;0,$AM$27,IF(AN109&gt;0,$AN$27,IF(AO109&gt;0,$AO$27,IF(AP109&gt;0,$AP$27,IF(AQ109&gt;0,$AQ$27,IF(AR109&gt;0,$AR$27,IF(AS109&gt;0,$AS$27,IF(AT109&gt;0,$AT$27,IF(AU109&gt;0,$AU$27,IF(AV109&gt;0,$AV$27,IF(AW109&gt;0,$AW$27,IF(AX109&gt;0,$AX$27,IF(AY109&gt;0,$AY$27,IF(AZ109&gt;0,$AZ$27,IF(BA109&gt;0,$BA$27,IF(BB109&gt;0,$BB$27,IF(BC109&gt;0,$BC$27,IF(BD109&gt;0,$BD$27,IF(BE109&gt;0,$BE$27,IF(BF109&gt;0,$BF$27,IF(BG109&gt;0,$BG$27,IF(BH109&gt;0,$BH$27,IF(BI109&gt;0,$BI$27,IF(BJ109&gt;0,$BJ$27,IF(BK109&gt;0,$BK$27,))))))))))))))))))))))))))))))))))))))))))))))))))))</f>
        <v>45929</v>
      </c>
      <c r="K109" s="83" t="s">
        <v>233</v>
      </c>
      <c r="L109" s="12"/>
      <c r="M109" s="13"/>
      <c r="N109" s="13"/>
      <c r="O109" s="13"/>
      <c r="P109" s="13"/>
      <c r="Q109" s="13"/>
      <c r="R109" s="29"/>
      <c r="S109" s="13"/>
      <c r="T109" s="13"/>
      <c r="U109" s="13"/>
      <c r="V109" s="13"/>
      <c r="W109" s="13"/>
      <c r="X109" s="29"/>
      <c r="Y109" s="13"/>
      <c r="Z109" s="13"/>
      <c r="AA109" s="13"/>
      <c r="AB109" s="13"/>
      <c r="AC109" s="13"/>
      <c r="AD109" s="29"/>
      <c r="AE109" s="13"/>
      <c r="AF109" s="13"/>
      <c r="AG109" s="13"/>
      <c r="AH109" s="13"/>
      <c r="AI109" s="13"/>
      <c r="AJ109" s="16"/>
      <c r="AK109" s="16"/>
      <c r="AL109" s="16"/>
      <c r="AM109" s="16"/>
      <c r="AN109" s="16"/>
      <c r="AO109" s="13"/>
      <c r="AP109" s="31"/>
      <c r="AQ109" s="16"/>
      <c r="AR109" s="16"/>
      <c r="AS109" s="16"/>
      <c r="AT109" s="16"/>
      <c r="AU109" s="16"/>
      <c r="AV109" s="16"/>
      <c r="AW109" s="16"/>
      <c r="AX109" s="16"/>
      <c r="AY109" s="16">
        <v>1</v>
      </c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42"/>
      <c r="BM109" s="52"/>
    </row>
    <row r="110" spans="2:65" s="4" customFormat="1" ht="24" hidden="1" customHeight="1" x14ac:dyDescent="0.25">
      <c r="B110" s="75"/>
      <c r="C110" s="79"/>
      <c r="D110" s="79"/>
      <c r="E110" s="81"/>
      <c r="F110" s="82"/>
      <c r="G110" s="73"/>
      <c r="H110" s="73"/>
      <c r="I110" s="77"/>
      <c r="J110" s="73"/>
      <c r="K110" s="73"/>
      <c r="L110" s="14"/>
      <c r="M110" s="15"/>
      <c r="N110" s="15"/>
      <c r="O110" s="15"/>
      <c r="P110" s="15"/>
      <c r="Q110" s="15"/>
      <c r="R110" s="30"/>
      <c r="S110" s="15"/>
      <c r="T110" s="15"/>
      <c r="U110" s="15"/>
      <c r="V110" s="15"/>
      <c r="W110" s="15"/>
      <c r="X110" s="30"/>
      <c r="Y110" s="15"/>
      <c r="Z110" s="15"/>
      <c r="AA110" s="15"/>
      <c r="AB110" s="15"/>
      <c r="AC110" s="15"/>
      <c r="AD110" s="30"/>
      <c r="AE110" s="15"/>
      <c r="AF110" s="15"/>
      <c r="AG110" s="15"/>
      <c r="AH110" s="15"/>
      <c r="AI110" s="15"/>
      <c r="AJ110" s="17"/>
      <c r="AK110" s="17"/>
      <c r="AL110" s="17"/>
      <c r="AM110" s="17"/>
      <c r="AN110" s="17"/>
      <c r="AO110" s="15"/>
      <c r="AP110" s="32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43"/>
      <c r="BM110" s="52"/>
    </row>
    <row r="111" spans="2:65" s="4" customFormat="1" ht="24" hidden="1" customHeight="1" x14ac:dyDescent="0.25">
      <c r="B111" s="74">
        <v>42</v>
      </c>
      <c r="C111" s="78" t="s">
        <v>132</v>
      </c>
      <c r="D111" s="78" t="s">
        <v>135</v>
      </c>
      <c r="E111" s="80" t="s">
        <v>77</v>
      </c>
      <c r="F111" s="82" t="s">
        <v>142</v>
      </c>
      <c r="G111" s="83" t="s">
        <v>65</v>
      </c>
      <c r="H111" s="83" t="s">
        <v>79</v>
      </c>
      <c r="I111" s="76" t="str">
        <f>+IF(BM112=100%,"Terminado",IF(BM112=0%,"Por Ejecutar",IF(BM112="","","En Proceso")))</f>
        <v>Por Ejecutar</v>
      </c>
      <c r="J111" s="72">
        <f>IF(L111&gt;0,$L$27,IF(M111&gt;0,$M$27,IF(N111&gt;0,$N$27,IF(O111&gt;0,$O$27,IF(P111&gt;0,$P$27,IF(Q111&gt;0,$Q$27,IF(R111&gt;0,$R$27,IF(S111&gt;0,$S$27,IF(T111&gt;0,$T$27,IF(U111&gt;0,$U$27,IF(V111&gt;0,$V$27,IF(W111&gt;0,$W$27,IF(X111&gt;0,$X$27,IF(Y111&gt;0,$Y$27,IF(Z111&gt;0,$Z$27,IF(AA111&gt;0,$AA$27,IF(AB111&gt;0,$AB$27,IF(AC111&gt;0,$AC$27,IF(AD111&gt;0,$AD$27,IF(AE111&gt;0,$AE$27,IF(AF111&gt;0,$AF$27,IF(AG111&gt;0,$AG$27,IF(AH111&gt;0,$AH$27,IF(AI111&gt;0,$AI$27,IF(AJ111&gt;0,$AJ$27,IF(AK111&gt;0,$AK$27,IF(AL111&gt;0,$AL$27,IF(AM111&gt;0,$AM$27,IF(AN111&gt;0,$AN$27,IF(AO111&gt;0,$AO$27,IF(AP111&gt;0,$AP$27,IF(AQ111&gt;0,$AQ$27,IF(AR111&gt;0,$AR$27,IF(AS111&gt;0,$AS$27,IF(AT111&gt;0,$AT$27,IF(AU111&gt;0,$AU$27,IF(AV111&gt;0,$AV$27,IF(AW111&gt;0,$AW$27,IF(AX111&gt;0,$AX$27,IF(AY111&gt;0,$AY$27,IF(AZ111&gt;0,$AZ$27,IF(BA111&gt;0,$BA$27,IF(BB111&gt;0,$BB$27,IF(BC111&gt;0,$BC$27,IF(BD111&gt;0,$BD$27,IF(BE111&gt;0,$BE$27,IF(BF111&gt;0,$BF$27,IF(BG111&gt;0,$BG$27,IF(BH111&gt;0,$BH$27,IF(BI111&gt;0,$BI$27,IF(BJ111&gt;0,$BJ$27,IF(BK111&gt;0,$BK$27,))))))))))))))))))))))))))))))))))))))))))))))))))))</f>
        <v>45915</v>
      </c>
      <c r="K111" s="83" t="s">
        <v>92</v>
      </c>
      <c r="L111" s="12"/>
      <c r="M111" s="13"/>
      <c r="N111" s="13"/>
      <c r="O111" s="13"/>
      <c r="P111" s="13"/>
      <c r="Q111" s="13"/>
      <c r="R111" s="29"/>
      <c r="S111" s="13"/>
      <c r="T111" s="13"/>
      <c r="U111" s="13"/>
      <c r="V111" s="13"/>
      <c r="W111" s="13"/>
      <c r="X111" s="29"/>
      <c r="Y111" s="13"/>
      <c r="Z111" s="13"/>
      <c r="AA111" s="13"/>
      <c r="AB111" s="13"/>
      <c r="AC111" s="13"/>
      <c r="AD111" s="29"/>
      <c r="AE111" s="13"/>
      <c r="AF111" s="13"/>
      <c r="AG111" s="13"/>
      <c r="AH111" s="13"/>
      <c r="AI111" s="13"/>
      <c r="AJ111" s="16"/>
      <c r="AK111" s="16"/>
      <c r="AL111" s="16"/>
      <c r="AM111" s="16"/>
      <c r="AN111" s="16"/>
      <c r="AO111" s="13"/>
      <c r="AP111" s="31"/>
      <c r="AQ111" s="16"/>
      <c r="AR111" s="16"/>
      <c r="AS111" s="16"/>
      <c r="AT111" s="16"/>
      <c r="AU111" s="16"/>
      <c r="AV111" s="16"/>
      <c r="AW111" s="16">
        <v>1</v>
      </c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42"/>
      <c r="BM111" s="24">
        <f>IFERROR(COUNTA(L111:BK111)/COUNTA(L111:BK111),"")</f>
        <v>1</v>
      </c>
    </row>
    <row r="112" spans="2:65" s="4" customFormat="1" ht="24" hidden="1" customHeight="1" x14ac:dyDescent="0.25">
      <c r="B112" s="75"/>
      <c r="C112" s="79"/>
      <c r="D112" s="79"/>
      <c r="E112" s="81"/>
      <c r="F112" s="82"/>
      <c r="G112" s="73"/>
      <c r="H112" s="73"/>
      <c r="I112" s="77"/>
      <c r="J112" s="73"/>
      <c r="K112" s="73"/>
      <c r="L112" s="14"/>
      <c r="M112" s="15"/>
      <c r="N112" s="15"/>
      <c r="O112" s="15"/>
      <c r="P112" s="15"/>
      <c r="Q112" s="15"/>
      <c r="R112" s="30"/>
      <c r="S112" s="15"/>
      <c r="T112" s="15"/>
      <c r="U112" s="15"/>
      <c r="V112" s="15"/>
      <c r="W112" s="15"/>
      <c r="X112" s="30"/>
      <c r="Y112" s="15"/>
      <c r="Z112" s="15"/>
      <c r="AA112" s="15"/>
      <c r="AB112" s="15"/>
      <c r="AC112" s="15"/>
      <c r="AD112" s="30"/>
      <c r="AE112" s="15"/>
      <c r="AF112" s="15"/>
      <c r="AG112" s="15"/>
      <c r="AH112" s="15"/>
      <c r="AI112" s="15"/>
      <c r="AJ112" s="17"/>
      <c r="AK112" s="17"/>
      <c r="AL112" s="17"/>
      <c r="AM112" s="17"/>
      <c r="AN112" s="17"/>
      <c r="AO112" s="15"/>
      <c r="AP112" s="32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43"/>
      <c r="BM112" s="28">
        <f>IFERROR(COUNTIF(L112:BK112,2)/COUNTIF(L111:BK111,1),"")</f>
        <v>0</v>
      </c>
    </row>
    <row r="113" spans="2:65" s="4" customFormat="1" ht="24" hidden="1" customHeight="1" x14ac:dyDescent="0.25">
      <c r="B113" s="74">
        <v>43</v>
      </c>
      <c r="C113" s="78" t="s">
        <v>132</v>
      </c>
      <c r="D113" s="78" t="s">
        <v>133</v>
      </c>
      <c r="E113" s="80" t="s">
        <v>77</v>
      </c>
      <c r="F113" s="82" t="s">
        <v>143</v>
      </c>
      <c r="G113" s="83" t="s">
        <v>65</v>
      </c>
      <c r="H113" s="83" t="s">
        <v>79</v>
      </c>
      <c r="I113" s="76" t="str">
        <f>+IF(BM114=100%,"Terminado",IF(BM114=0%,"Por Ejecutar",IF(BM114="","","En Proceso")))</f>
        <v>Por Ejecutar</v>
      </c>
      <c r="J113" s="72">
        <f>IF(L113&gt;0,$L$27,IF(M113&gt;0,$M$27,IF(N113&gt;0,$N$27,IF(O113&gt;0,$O$27,IF(P113&gt;0,$P$27,IF(Q113&gt;0,$Q$27,IF(R113&gt;0,$R$27,IF(S113&gt;0,$S$27,IF(T113&gt;0,$T$27,IF(U113&gt;0,$U$27,IF(V113&gt;0,$V$27,IF(W113&gt;0,$W$27,IF(X113&gt;0,$X$27,IF(Y113&gt;0,$Y$27,IF(Z113&gt;0,$Z$27,IF(AA113&gt;0,$AA$27,IF(AB113&gt;0,$AB$27,IF(AC113&gt;0,$AC$27,IF(AD113&gt;0,$AD$27,IF(AE113&gt;0,$AE$27,IF(AF113&gt;0,$AF$27,IF(AG113&gt;0,$AG$27,IF(AH113&gt;0,$AH$27,IF(AI113&gt;0,$AI$27,IF(AJ113&gt;0,$AJ$27,IF(AK113&gt;0,$AK$27,IF(AL113&gt;0,$AL$27,IF(AM113&gt;0,$AM$27,IF(AN113&gt;0,$AN$27,IF(AO113&gt;0,$AO$27,IF(AP113&gt;0,$AP$27,IF(AQ113&gt;0,$AQ$27,IF(AR113&gt;0,$AR$27,IF(AS113&gt;0,$AS$27,IF(AT113&gt;0,$AT$27,IF(AU113&gt;0,$AU$27,IF(AV113&gt;0,$AV$27,IF(AW113&gt;0,$AW$27,IF(AX113&gt;0,$AX$27,IF(AY113&gt;0,$AY$27,IF(AZ113&gt;0,$AZ$27,IF(BA113&gt;0,$BA$27,IF(BB113&gt;0,$BB$27,IF(BC113&gt;0,$BC$27,IF(BD113&gt;0,$BD$27,IF(BE113&gt;0,$BE$27,IF(BF113&gt;0,$BF$27,IF(BG113&gt;0,$BG$27,IF(BH113&gt;0,$BH$27,IF(BI113&gt;0,$BI$27,IF(BJ113&gt;0,$BJ$27,IF(BK113&gt;0,$BK$27,))))))))))))))))))))))))))))))))))))))))))))))))))))</f>
        <v>45838</v>
      </c>
      <c r="K113" s="83" t="s">
        <v>87</v>
      </c>
      <c r="L113" s="12"/>
      <c r="M113" s="13"/>
      <c r="N113" s="13"/>
      <c r="O113" s="13"/>
      <c r="P113" s="13"/>
      <c r="Q113" s="13"/>
      <c r="R113" s="29"/>
      <c r="S113" s="13"/>
      <c r="T113" s="13"/>
      <c r="U113" s="13"/>
      <c r="V113" s="13"/>
      <c r="W113" s="13"/>
      <c r="X113" s="29"/>
      <c r="Y113" s="13"/>
      <c r="Z113" s="13"/>
      <c r="AA113" s="13"/>
      <c r="AB113" s="13"/>
      <c r="AC113" s="13"/>
      <c r="AD113" s="29"/>
      <c r="AE113" s="13"/>
      <c r="AF113" s="13"/>
      <c r="AG113" s="13"/>
      <c r="AH113" s="13"/>
      <c r="AI113" s="13"/>
      <c r="AJ113" s="16"/>
      <c r="AK113" s="16"/>
      <c r="AL113" s="16">
        <v>1</v>
      </c>
      <c r="AM113" s="16"/>
      <c r="AN113" s="16"/>
      <c r="AO113" s="13"/>
      <c r="AP113" s="31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42"/>
      <c r="BM113" s="24">
        <f>IFERROR(COUNTA(L113:BK113)/COUNTA(L113:BK113),"")</f>
        <v>1</v>
      </c>
    </row>
    <row r="114" spans="2:65" s="4" customFormat="1" ht="24" hidden="1" customHeight="1" x14ac:dyDescent="0.25">
      <c r="B114" s="75"/>
      <c r="C114" s="79"/>
      <c r="D114" s="79"/>
      <c r="E114" s="81"/>
      <c r="F114" s="82"/>
      <c r="G114" s="73"/>
      <c r="H114" s="73"/>
      <c r="I114" s="77"/>
      <c r="J114" s="73"/>
      <c r="K114" s="73"/>
      <c r="L114" s="14"/>
      <c r="M114" s="15"/>
      <c r="N114" s="15"/>
      <c r="O114" s="15"/>
      <c r="P114" s="15"/>
      <c r="Q114" s="15"/>
      <c r="R114" s="30"/>
      <c r="S114" s="15"/>
      <c r="T114" s="15"/>
      <c r="U114" s="15"/>
      <c r="V114" s="15"/>
      <c r="W114" s="15"/>
      <c r="X114" s="30"/>
      <c r="Y114" s="15"/>
      <c r="Z114" s="15"/>
      <c r="AA114" s="15"/>
      <c r="AB114" s="15"/>
      <c r="AC114" s="15"/>
      <c r="AD114" s="30"/>
      <c r="AE114" s="15"/>
      <c r="AF114" s="15"/>
      <c r="AG114" s="15"/>
      <c r="AH114" s="15"/>
      <c r="AI114" s="15"/>
      <c r="AJ114" s="17"/>
      <c r="AK114" s="17"/>
      <c r="AL114" s="17"/>
      <c r="AM114" s="17"/>
      <c r="AN114" s="17"/>
      <c r="AO114" s="15"/>
      <c r="AP114" s="32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43"/>
      <c r="BM114" s="28">
        <f>IFERROR(COUNTIF(L114:BK114,2)/COUNTIF(L113:BK113,1),"")</f>
        <v>0</v>
      </c>
    </row>
    <row r="115" spans="2:65" s="4" customFormat="1" ht="24" hidden="1" customHeight="1" x14ac:dyDescent="0.25">
      <c r="B115" s="74">
        <v>44</v>
      </c>
      <c r="C115" s="78" t="s">
        <v>132</v>
      </c>
      <c r="D115" s="78" t="s">
        <v>133</v>
      </c>
      <c r="E115" s="80" t="s">
        <v>77</v>
      </c>
      <c r="F115" s="82" t="s">
        <v>153</v>
      </c>
      <c r="G115" s="83" t="s">
        <v>65</v>
      </c>
      <c r="H115" s="83" t="s">
        <v>79</v>
      </c>
      <c r="I115" s="76" t="str">
        <f>+IF(BM116=100%,"Terminado",IF(BM116=0%,"Por Ejecutar",IF(BM116="","","En Proceso")))</f>
        <v>Por Ejecutar</v>
      </c>
      <c r="J115" s="72">
        <f>IF(L115&gt;0,$L$27,IF(M115&gt;0,$M$27,IF(N115&gt;0,$N$27,IF(O115&gt;0,$O$27,IF(P115&gt;0,$P$27,IF(Q115&gt;0,$Q$27,IF(R115&gt;0,$R$27,IF(S115&gt;0,$S$27,IF(T115&gt;0,$T$27,IF(U115&gt;0,$U$27,IF(V115&gt;0,$V$27,IF(W115&gt;0,$W$27,IF(X115&gt;0,$X$27,IF(Y115&gt;0,$Y$27,IF(Z115&gt;0,$Z$27,IF(AA115&gt;0,$AA$27,IF(AB115&gt;0,$AB$27,IF(AC115&gt;0,$AC$27,IF(AD115&gt;0,$AD$27,IF(AE115&gt;0,$AE$27,IF(AF115&gt;0,$AF$27,IF(AG115&gt;0,$AG$27,IF(AH115&gt;0,$AH$27,IF(AI115&gt;0,$AI$27,IF(AJ115&gt;0,$AJ$27,IF(AK115&gt;0,$AK$27,IF(AL115&gt;0,$AL$27,IF(AM115&gt;0,$AM$27,IF(AN115&gt;0,$AN$27,IF(AO115&gt;0,$AO$27,IF(AP115&gt;0,$AP$27,IF(AQ115&gt;0,$AQ$27,IF(AR115&gt;0,$AR$27,IF(AS115&gt;0,$AS$27,IF(AT115&gt;0,$AT$27,IF(AU115&gt;0,$AU$27,IF(AV115&gt;0,$AV$27,IF(AW115&gt;0,$AW$27,IF(AX115&gt;0,$AX$27,IF(AY115&gt;0,$AY$27,IF(AZ115&gt;0,$AZ$27,IF(BA115&gt;0,$BA$27,IF(BB115&gt;0,$BB$27,IF(BC115&gt;0,$BC$27,IF(BD115&gt;0,$BD$27,IF(BE115&gt;0,$BE$27,IF(BF115&gt;0,$BF$27,IF(BG115&gt;0,$BG$27,IF(BH115&gt;0,$BH$27,IF(BI115&gt;0,$BI$27,IF(BJ115&gt;0,$BJ$27,IF(BK115&gt;0,$BK$27,))))))))))))))))))))))))))))))))))))))))))))))))))))</f>
        <v>45782</v>
      </c>
      <c r="K115" s="83" t="s">
        <v>87</v>
      </c>
      <c r="L115" s="12"/>
      <c r="M115" s="13"/>
      <c r="N115" s="13"/>
      <c r="O115" s="13"/>
      <c r="P115" s="13"/>
      <c r="Q115" s="13"/>
      <c r="R115" s="29"/>
      <c r="S115" s="13"/>
      <c r="T115" s="13"/>
      <c r="U115" s="13"/>
      <c r="V115" s="13"/>
      <c r="W115" s="13"/>
      <c r="X115" s="29"/>
      <c r="Y115" s="13"/>
      <c r="Z115" s="13"/>
      <c r="AA115" s="13"/>
      <c r="AB115" s="13"/>
      <c r="AC115" s="13"/>
      <c r="AD115" s="59">
        <v>1</v>
      </c>
      <c r="AE115" s="59">
        <v>1</v>
      </c>
      <c r="AF115" s="59">
        <v>1</v>
      </c>
      <c r="AG115" s="59">
        <v>1</v>
      </c>
      <c r="AH115" s="59">
        <v>1</v>
      </c>
      <c r="AI115" s="59">
        <v>1</v>
      </c>
      <c r="AJ115" s="16"/>
      <c r="AK115" s="16"/>
      <c r="AL115" s="16"/>
      <c r="AM115" s="16"/>
      <c r="AN115" s="16"/>
      <c r="AO115" s="13"/>
      <c r="AP115" s="31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>
        <v>1</v>
      </c>
      <c r="BB115" s="16">
        <v>1</v>
      </c>
      <c r="BC115" s="16">
        <v>1</v>
      </c>
      <c r="BD115" s="16"/>
      <c r="BE115" s="16"/>
      <c r="BF115" s="16"/>
      <c r="BG115" s="16"/>
      <c r="BH115" s="16"/>
      <c r="BI115" s="16"/>
      <c r="BJ115" s="16"/>
      <c r="BK115" s="42"/>
      <c r="BM115" s="24">
        <f>IFERROR(COUNTA(L115:BK115)/COUNTA(L115:BK115),"")</f>
        <v>1</v>
      </c>
    </row>
    <row r="116" spans="2:65" s="4" customFormat="1" ht="24" hidden="1" customHeight="1" x14ac:dyDescent="0.25">
      <c r="B116" s="75"/>
      <c r="C116" s="79"/>
      <c r="D116" s="79"/>
      <c r="E116" s="81"/>
      <c r="F116" s="82"/>
      <c r="G116" s="73"/>
      <c r="H116" s="73"/>
      <c r="I116" s="77"/>
      <c r="J116" s="73"/>
      <c r="K116" s="73"/>
      <c r="L116" s="14"/>
      <c r="M116" s="15"/>
      <c r="N116" s="15"/>
      <c r="O116" s="15"/>
      <c r="P116" s="15"/>
      <c r="Q116" s="15"/>
      <c r="R116" s="30"/>
      <c r="S116" s="15"/>
      <c r="T116" s="15"/>
      <c r="U116" s="15"/>
      <c r="V116" s="15"/>
      <c r="W116" s="15"/>
      <c r="X116" s="30"/>
      <c r="Y116" s="15"/>
      <c r="Z116" s="15"/>
      <c r="AA116" s="15"/>
      <c r="AB116" s="15"/>
      <c r="AC116" s="15"/>
      <c r="AD116" s="30"/>
      <c r="AE116" s="15"/>
      <c r="AF116" s="15"/>
      <c r="AG116" s="15"/>
      <c r="AH116" s="15"/>
      <c r="AI116" s="15"/>
      <c r="AJ116" s="17"/>
      <c r="AK116" s="17"/>
      <c r="AL116" s="17"/>
      <c r="AM116" s="17"/>
      <c r="AN116" s="17"/>
      <c r="AO116" s="15"/>
      <c r="AP116" s="32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43"/>
      <c r="BM116" s="28">
        <f>IFERROR(COUNTIF(L116:BK116,2)/COUNTIF(L115:BK115,1),"")</f>
        <v>0</v>
      </c>
    </row>
    <row r="117" spans="2:65" s="4" customFormat="1" ht="24" hidden="1" customHeight="1" x14ac:dyDescent="0.25">
      <c r="B117" s="74">
        <v>45</v>
      </c>
      <c r="C117" s="78" t="s">
        <v>132</v>
      </c>
      <c r="D117" s="78" t="s">
        <v>133</v>
      </c>
      <c r="E117" s="80" t="s">
        <v>77</v>
      </c>
      <c r="F117" s="82" t="s">
        <v>168</v>
      </c>
      <c r="G117" s="83" t="s">
        <v>65</v>
      </c>
      <c r="H117" s="83" t="s">
        <v>79</v>
      </c>
      <c r="I117" s="76" t="str">
        <f>+IF(BM118=100%,"Terminado",IF(BM118=0%,"Por Ejecutar",IF(BM118="","","En Proceso")))</f>
        <v>Por Ejecutar</v>
      </c>
      <c r="J117" s="72">
        <f>IF(L117&gt;0,$L$27,IF(M117&gt;0,$M$27,IF(N117&gt;0,$N$27,IF(O117&gt;0,$O$27,IF(P117&gt;0,$P$27,IF(Q117&gt;0,$Q$27,IF(R117&gt;0,$R$27,IF(S117&gt;0,$S$27,IF(T117&gt;0,$T$27,IF(U117&gt;0,$U$27,IF(V117&gt;0,$V$27,IF(W117&gt;0,$W$27,IF(X117&gt;0,$X$27,IF(Y117&gt;0,$Y$27,IF(Z117&gt;0,$Z$27,IF(AA117&gt;0,$AA$27,IF(AB117&gt;0,$AB$27,IF(AC117&gt;0,$AC$27,IF(AD117&gt;0,$AD$27,IF(AE117&gt;0,$AE$27,IF(AF117&gt;0,$AF$27,IF(AG117&gt;0,$AG$27,IF(AH117&gt;0,$AH$27,IF(AI117&gt;0,$AI$27,IF(AJ117&gt;0,$AJ$27,IF(AK117&gt;0,$AK$27,IF(AL117&gt;0,$AL$27,IF(AM117&gt;0,$AM$27,IF(AN117&gt;0,$AN$27,IF(AO117&gt;0,$AO$27,IF(AP117&gt;0,$AP$27,IF(AQ117&gt;0,$AQ$27,IF(AR117&gt;0,$AR$27,IF(AS117&gt;0,$AS$27,IF(AT117&gt;0,$AT$27,IF(AU117&gt;0,$AU$27,IF(AV117&gt;0,$AV$27,IF(AW117&gt;0,$AW$27,IF(AX117&gt;0,$AX$27,IF(AY117&gt;0,$AY$27,IF(AZ117&gt;0,$AZ$27,IF(BA117&gt;0,$BA$27,IF(BB117&gt;0,$BB$27,IF(BC117&gt;0,$BC$27,IF(BD117&gt;0,$BD$27,IF(BE117&gt;0,$BE$27,IF(BF117&gt;0,$BF$27,IF(BG117&gt;0,$BG$27,IF(BH117&gt;0,$BH$27,IF(BI117&gt;0,$BI$27,IF(BJ117&gt;0,$BJ$27,IF(BK117&gt;0,$BK$27,))))))))))))))))))))))))))))))))))))))))))))))))))))</f>
        <v>45719</v>
      </c>
      <c r="K117" s="83" t="s">
        <v>87</v>
      </c>
      <c r="L117" s="12"/>
      <c r="M117" s="13"/>
      <c r="N117" s="13"/>
      <c r="O117" s="13"/>
      <c r="P117" s="13"/>
      <c r="Q117" s="13"/>
      <c r="R117" s="29"/>
      <c r="S117" s="13"/>
      <c r="T117" s="13"/>
      <c r="U117" s="13">
        <v>1</v>
      </c>
      <c r="V117" s="13"/>
      <c r="W117" s="13"/>
      <c r="X117" s="29"/>
      <c r="Y117" s="13"/>
      <c r="Z117" s="13"/>
      <c r="AA117" s="13"/>
      <c r="AB117" s="13"/>
      <c r="AC117" s="13"/>
      <c r="AD117" s="59"/>
      <c r="AE117" s="59"/>
      <c r="AF117" s="59"/>
      <c r="AG117" s="59"/>
      <c r="AH117" s="59"/>
      <c r="AI117" s="59"/>
      <c r="AJ117" s="16"/>
      <c r="AK117" s="16"/>
      <c r="AL117" s="16"/>
      <c r="AM117" s="16"/>
      <c r="AN117" s="16"/>
      <c r="AO117" s="13"/>
      <c r="AP117" s="31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42"/>
      <c r="BM117" s="24">
        <f>IFERROR(COUNTA(L117:BK117)/COUNTA(L117:BK117),"")</f>
        <v>1</v>
      </c>
    </row>
    <row r="118" spans="2:65" s="4" customFormat="1" ht="24" hidden="1" customHeight="1" x14ac:dyDescent="0.25">
      <c r="B118" s="75"/>
      <c r="C118" s="79"/>
      <c r="D118" s="79"/>
      <c r="E118" s="81"/>
      <c r="F118" s="82"/>
      <c r="G118" s="73"/>
      <c r="H118" s="73"/>
      <c r="I118" s="77"/>
      <c r="J118" s="73"/>
      <c r="K118" s="73"/>
      <c r="L118" s="14"/>
      <c r="M118" s="15"/>
      <c r="N118" s="15"/>
      <c r="O118" s="15"/>
      <c r="P118" s="15"/>
      <c r="Q118" s="15"/>
      <c r="R118" s="30"/>
      <c r="S118" s="15"/>
      <c r="T118" s="15"/>
      <c r="U118" s="15"/>
      <c r="V118" s="15"/>
      <c r="W118" s="15"/>
      <c r="X118" s="30"/>
      <c r="Y118" s="15"/>
      <c r="Z118" s="15"/>
      <c r="AA118" s="15"/>
      <c r="AB118" s="15"/>
      <c r="AC118" s="15"/>
      <c r="AD118" s="30"/>
      <c r="AE118" s="15"/>
      <c r="AF118" s="15"/>
      <c r="AG118" s="15"/>
      <c r="AH118" s="15"/>
      <c r="AI118" s="15"/>
      <c r="AJ118" s="17"/>
      <c r="AK118" s="17"/>
      <c r="AL118" s="17"/>
      <c r="AM118" s="17"/>
      <c r="AN118" s="17"/>
      <c r="AO118" s="15"/>
      <c r="AP118" s="32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43"/>
      <c r="BM118" s="28">
        <f>IFERROR(COUNTIF(L118:BK118,2)/COUNTIF(L117:BK117,1),"")</f>
        <v>0</v>
      </c>
    </row>
    <row r="119" spans="2:65" s="4" customFormat="1" ht="24" hidden="1" customHeight="1" x14ac:dyDescent="0.25">
      <c r="B119" s="74">
        <v>46</v>
      </c>
      <c r="C119" s="78" t="s">
        <v>132</v>
      </c>
      <c r="D119" s="78" t="s">
        <v>133</v>
      </c>
      <c r="E119" s="80" t="s">
        <v>77</v>
      </c>
      <c r="F119" s="82" t="s">
        <v>161</v>
      </c>
      <c r="G119" s="83" t="s">
        <v>65</v>
      </c>
      <c r="H119" s="83" t="s">
        <v>79</v>
      </c>
      <c r="I119" s="76" t="str">
        <f>+IF(BM120=100%,"Terminado",IF(BM120=0%,"Por Ejecutar",IF(BM120="","","En Proceso")))</f>
        <v>Por Ejecutar</v>
      </c>
      <c r="J119" s="72">
        <f>IF(L119&gt;0,$L$27,IF(M119&gt;0,$M$27,IF(N119&gt;0,$N$27,IF(O119&gt;0,$O$27,IF(P119&gt;0,$P$27,IF(Q119&gt;0,$Q$27,IF(R119&gt;0,$R$27,IF(S119&gt;0,$S$27,IF(T119&gt;0,$T$27,IF(U119&gt;0,$U$27,IF(V119&gt;0,$V$27,IF(W119&gt;0,$W$27,IF(X119&gt;0,$X$27,IF(Y119&gt;0,$Y$27,IF(Z119&gt;0,$Z$27,IF(AA119&gt;0,$AA$27,IF(AB119&gt;0,$AB$27,IF(AC119&gt;0,$AC$27,IF(AD119&gt;0,$AD$27,IF(AE119&gt;0,$AE$27,IF(AF119&gt;0,$AF$27,IF(AG119&gt;0,$AG$27,IF(AH119&gt;0,$AH$27,IF(AI119&gt;0,$AI$27,IF(AJ119&gt;0,$AJ$27,IF(AK119&gt;0,$AK$27,IF(AL119&gt;0,$AL$27,IF(AM119&gt;0,$AM$27,IF(AN119&gt;0,$AN$27,IF(AO119&gt;0,$AO$27,IF(AP119&gt;0,$AP$27,IF(AQ119&gt;0,$AQ$27,IF(AR119&gt;0,$AR$27,IF(AS119&gt;0,$AS$27,IF(AT119&gt;0,$AT$27,IF(AU119&gt;0,$AU$27,IF(AV119&gt;0,$AV$27,IF(AW119&gt;0,$AW$27,IF(AX119&gt;0,$AX$27,IF(AY119&gt;0,$AY$27,IF(AZ119&gt;0,$AZ$27,IF(BA119&gt;0,$BA$27,IF(BB119&gt;0,$BB$27,IF(BC119&gt;0,$BC$27,IF(BD119&gt;0,$BD$27,IF(BE119&gt;0,$BE$27,IF(BF119&gt;0,$BF$27,IF(BG119&gt;0,$BG$27,IF(BH119&gt;0,$BH$27,IF(BI119&gt;0,$BI$27,IF(BJ119&gt;0,$BJ$27,IF(BK119&gt;0,$BK$27,))))))))))))))))))))))))))))))))))))))))))))))))))))</f>
        <v>45733</v>
      </c>
      <c r="K119" s="83" t="s">
        <v>87</v>
      </c>
      <c r="L119" s="12"/>
      <c r="M119" s="13"/>
      <c r="N119" s="13"/>
      <c r="O119" s="13"/>
      <c r="P119" s="13"/>
      <c r="Q119" s="13"/>
      <c r="R119" s="29"/>
      <c r="S119" s="13"/>
      <c r="T119" s="13"/>
      <c r="U119" s="13"/>
      <c r="V119" s="13"/>
      <c r="W119" s="13">
        <v>1</v>
      </c>
      <c r="X119" s="29"/>
      <c r="Y119" s="13"/>
      <c r="Z119" s="13"/>
      <c r="AA119" s="13"/>
      <c r="AB119" s="13"/>
      <c r="AC119" s="13"/>
      <c r="AD119" s="59"/>
      <c r="AE119" s="59"/>
      <c r="AF119" s="59"/>
      <c r="AG119" s="59"/>
      <c r="AH119" s="59"/>
      <c r="AI119" s="59"/>
      <c r="AJ119" s="16"/>
      <c r="AK119" s="16"/>
      <c r="AL119" s="16"/>
      <c r="AM119" s="16"/>
      <c r="AN119" s="16"/>
      <c r="AO119" s="13"/>
      <c r="AP119" s="31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42"/>
      <c r="BM119" s="24">
        <f>IFERROR(COUNTA(L119:BK119)/COUNTA(L119:BK119),"")</f>
        <v>1</v>
      </c>
    </row>
    <row r="120" spans="2:65" s="4" customFormat="1" ht="24" hidden="1" customHeight="1" x14ac:dyDescent="0.25">
      <c r="B120" s="75"/>
      <c r="C120" s="79"/>
      <c r="D120" s="79"/>
      <c r="E120" s="81"/>
      <c r="F120" s="82"/>
      <c r="G120" s="73"/>
      <c r="H120" s="73"/>
      <c r="I120" s="77"/>
      <c r="J120" s="73"/>
      <c r="K120" s="73"/>
      <c r="L120" s="14"/>
      <c r="M120" s="15"/>
      <c r="N120" s="15"/>
      <c r="O120" s="15"/>
      <c r="P120" s="15"/>
      <c r="Q120" s="15"/>
      <c r="R120" s="30"/>
      <c r="S120" s="15"/>
      <c r="T120" s="15"/>
      <c r="U120" s="15"/>
      <c r="V120" s="15"/>
      <c r="W120" s="15"/>
      <c r="X120" s="30"/>
      <c r="Y120" s="15"/>
      <c r="Z120" s="15"/>
      <c r="AA120" s="15"/>
      <c r="AB120" s="15"/>
      <c r="AC120" s="15"/>
      <c r="AD120" s="30"/>
      <c r="AE120" s="15"/>
      <c r="AF120" s="15"/>
      <c r="AG120" s="15"/>
      <c r="AH120" s="15"/>
      <c r="AI120" s="15"/>
      <c r="AJ120" s="17"/>
      <c r="AK120" s="17"/>
      <c r="AL120" s="17"/>
      <c r="AM120" s="17"/>
      <c r="AN120" s="17"/>
      <c r="AO120" s="15"/>
      <c r="AP120" s="32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43"/>
      <c r="BM120" s="28">
        <f>IFERROR(COUNTIF(L120:BK120,2)/COUNTIF(L119:BK119,1),"")</f>
        <v>0</v>
      </c>
    </row>
    <row r="121" spans="2:65" s="4" customFormat="1" ht="24" hidden="1" customHeight="1" x14ac:dyDescent="0.25">
      <c r="B121" s="74">
        <v>47</v>
      </c>
      <c r="C121" s="78" t="s">
        <v>169</v>
      </c>
      <c r="D121" s="78" t="s">
        <v>170</v>
      </c>
      <c r="E121" s="78" t="s">
        <v>77</v>
      </c>
      <c r="F121" s="78" t="s">
        <v>98</v>
      </c>
      <c r="G121" s="83" t="s">
        <v>65</v>
      </c>
      <c r="H121" s="83" t="s">
        <v>89</v>
      </c>
      <c r="I121" s="76" t="str">
        <f>+IF(BM122=100%,"Terminado",IF(BM122=0%,"Por Ejecutar",IF(BM122="","","En Proceso")))</f>
        <v>Por Ejecutar</v>
      </c>
      <c r="J121" s="72">
        <f>IF(L121&gt;0,$L$27,IF(M121&gt;0,$M$27,IF(N121&gt;0,$N$27,IF(O121&gt;0,$O$27,IF(P121&gt;0,$P$27,IF(Q121&gt;0,$Q$27,IF(R121&gt;0,$R$27,IF(S121&gt;0,$S$27,IF(T121&gt;0,$T$27,IF(U121&gt;0,$U$27,IF(V121&gt;0,$V$27,IF(W121&gt;0,$W$27,IF(X121&gt;0,$X$27,IF(Y121&gt;0,$Y$27,IF(Z121&gt;0,$Z$27,IF(AA121&gt;0,$AA$27,IF(AB121&gt;0,$AB$27,IF(AC121&gt;0,$AC$27,IF(AD121&gt;0,$AD$27,IF(AE121&gt;0,$AE$27,IF(AF121&gt;0,$AF$27,IF(AG121&gt;0,$AG$27,IF(AH121&gt;0,$AH$27,IF(AI121&gt;0,$AI$27,IF(AJ121&gt;0,$AJ$27,IF(AK121&gt;0,$AK$27,IF(AL121&gt;0,$AL$27,IF(AM121&gt;0,$AM$27,IF(AN121&gt;0,$AN$27,IF(AO121&gt;0,$AO$27,IF(AP121&gt;0,$AP$27,IF(AQ121&gt;0,$AQ$27,IF(AR121&gt;0,$AR$27,IF(AS121&gt;0,$AS$27,IF(AT121&gt;0,$AT$27,IF(AU121&gt;0,$AU$27,IF(AV121&gt;0,$AV$27,IF(AW121&gt;0,$AW$27,IF(AX121&gt;0,$AX$27,IF(AY121&gt;0,$AY$27,IF(AZ121&gt;0,$AZ$27,IF(BA121&gt;0,$BA$27,IF(BB121&gt;0,$BB$27,IF(BC121&gt;0,$BC$27,IF(BD121&gt;0,$BD$27,IF(BE121&gt;0,$BE$27,IF(BF121&gt;0,$BF$27,IF(BG121&gt;0,$BG$27,IF(BH121&gt;0,$BH$27,IF(BI121&gt;0,$BI$27,IF(BJ121&gt;0,$BJ$27,IF(BK121&gt;0,$BK$27,))))))))))))))))))))))))))))))))))))))))))))))))))))</f>
        <v>45698</v>
      </c>
      <c r="K121" s="83" t="s">
        <v>87</v>
      </c>
      <c r="L121" s="12"/>
      <c r="M121" s="13"/>
      <c r="N121" s="13"/>
      <c r="O121" s="13"/>
      <c r="P121" s="13"/>
      <c r="Q121" s="13"/>
      <c r="R121" s="29">
        <v>1</v>
      </c>
      <c r="S121" s="13">
        <v>1</v>
      </c>
      <c r="T121" s="13"/>
      <c r="U121" s="13"/>
      <c r="V121" s="13"/>
      <c r="W121" s="13"/>
      <c r="X121" s="29"/>
      <c r="Y121" s="13"/>
      <c r="Z121" s="13"/>
      <c r="AA121" s="13"/>
      <c r="AB121" s="13"/>
      <c r="AC121" s="13"/>
      <c r="AD121" s="29"/>
      <c r="AE121" s="13"/>
      <c r="AF121" s="13"/>
      <c r="AG121" s="13"/>
      <c r="AH121" s="13"/>
      <c r="AI121" s="13"/>
      <c r="AJ121" s="16"/>
      <c r="AK121" s="16"/>
      <c r="AL121" s="16"/>
      <c r="AM121" s="16"/>
      <c r="AN121" s="16"/>
      <c r="AO121" s="13"/>
      <c r="AP121" s="31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>
        <v>1</v>
      </c>
      <c r="BD121" s="16"/>
      <c r="BE121" s="16"/>
      <c r="BF121" s="16"/>
      <c r="BG121" s="16"/>
      <c r="BH121" s="16"/>
      <c r="BI121" s="16"/>
      <c r="BJ121" s="16"/>
      <c r="BK121" s="42"/>
      <c r="BM121" s="24">
        <f>IFERROR(COUNTA(L121:BK121)/COUNTA(L121:BK121),"")</f>
        <v>1</v>
      </c>
    </row>
    <row r="122" spans="2:65" s="4" customFormat="1" ht="24" hidden="1" customHeight="1" x14ac:dyDescent="0.25">
      <c r="B122" s="75"/>
      <c r="C122" s="79"/>
      <c r="D122" s="79"/>
      <c r="E122" s="79"/>
      <c r="F122" s="79"/>
      <c r="G122" s="73"/>
      <c r="H122" s="73"/>
      <c r="I122" s="77"/>
      <c r="J122" s="73"/>
      <c r="K122" s="73"/>
      <c r="L122" s="14"/>
      <c r="M122" s="15"/>
      <c r="N122" s="15"/>
      <c r="O122" s="15"/>
      <c r="P122" s="15"/>
      <c r="Q122" s="15"/>
      <c r="R122" s="30"/>
      <c r="S122" s="15"/>
      <c r="T122" s="15"/>
      <c r="U122" s="15"/>
      <c r="V122" s="15"/>
      <c r="W122" s="15"/>
      <c r="X122" s="30"/>
      <c r="Y122" s="15"/>
      <c r="Z122" s="15"/>
      <c r="AA122" s="15"/>
      <c r="AB122" s="15"/>
      <c r="AC122" s="15"/>
      <c r="AD122" s="30"/>
      <c r="AE122" s="15"/>
      <c r="AF122" s="15"/>
      <c r="AG122" s="15"/>
      <c r="AH122" s="15"/>
      <c r="AI122" s="15"/>
      <c r="AJ122" s="17"/>
      <c r="AK122" s="17"/>
      <c r="AL122" s="17"/>
      <c r="AM122" s="17"/>
      <c r="AN122" s="17"/>
      <c r="AO122" s="15"/>
      <c r="AP122" s="32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43"/>
      <c r="BM122" s="28">
        <f>IFERROR(COUNTIF(L122:BK122,2)/COUNTIF(L121:BK121,1),"")</f>
        <v>0</v>
      </c>
    </row>
    <row r="123" spans="2:65" s="4" customFormat="1" ht="24" hidden="1" customHeight="1" x14ac:dyDescent="0.25">
      <c r="B123" s="74">
        <v>48</v>
      </c>
      <c r="C123" s="78" t="s">
        <v>169</v>
      </c>
      <c r="D123" s="78" t="s">
        <v>237</v>
      </c>
      <c r="E123" s="78" t="s">
        <v>77</v>
      </c>
      <c r="F123" s="78" t="s">
        <v>238</v>
      </c>
      <c r="G123" s="83" t="s">
        <v>65</v>
      </c>
      <c r="H123" s="83" t="s">
        <v>89</v>
      </c>
      <c r="I123" s="76" t="str">
        <f>+IF(BM124=100%,"Terminado",IF(BM124=0%,"Por Ejecutar",IF(BM124="","","En Proceso")))</f>
        <v>Por Ejecutar</v>
      </c>
      <c r="J123" s="72">
        <f>IF(L123&gt;0,$L$27,IF(M123&gt;0,$M$27,IF(N123&gt;0,$N$27,IF(O123&gt;0,$O$27,IF(P123&gt;0,$P$27,IF(Q123&gt;0,$Q$27,IF(R123&gt;0,$R$27,IF(S123&gt;0,$S$27,IF(T123&gt;0,$T$27,IF(U123&gt;0,$U$27,IF(V123&gt;0,$V$27,IF(W123&gt;0,$W$27,IF(X123&gt;0,$X$27,IF(Y123&gt;0,$Y$27,IF(Z123&gt;0,$Z$27,IF(AA123&gt;0,$AA$27,IF(AB123&gt;0,$AB$27,IF(AC123&gt;0,$AC$27,IF(AD123&gt;0,$AD$27,IF(AE123&gt;0,$AE$27,IF(AF123&gt;0,$AF$27,IF(AG123&gt;0,$AG$27,IF(AH123&gt;0,$AH$27,IF(AI123&gt;0,$AI$27,IF(AJ123&gt;0,$AJ$27,IF(AK123&gt;0,$AK$27,IF(AL123&gt;0,$AL$27,IF(AM123&gt;0,$AM$27,IF(AN123&gt;0,$AN$27,IF(AO123&gt;0,$AO$27,IF(AP123&gt;0,$AP$27,IF(AQ123&gt;0,$AQ$27,IF(AR123&gt;0,$AR$27,IF(AS123&gt;0,$AS$27,IF(AT123&gt;0,$AT$27,IF(AU123&gt;0,$AU$27,IF(AV123&gt;0,$AV$27,IF(AW123&gt;0,$AW$27,IF(AX123&gt;0,$AX$27,IF(AY123&gt;0,$AY$27,IF(AZ123&gt;0,$AZ$27,IF(BA123&gt;0,$BA$27,IF(BB123&gt;0,$BB$27,IF(BC123&gt;0,$BC$27,IF(BD123&gt;0,$BD$27,IF(BE123&gt;0,$BE$27,IF(BF123&gt;0,$BF$27,IF(BG123&gt;0,$BG$27,IF(BH123&gt;0,$BH$27,IF(BI123&gt;0,$BI$27,IF(BJ123&gt;0,$BJ$27,IF(BK123&gt;0,$BK$27,))))))))))))))))))))))))))))))))))))))))))))))))))))</f>
        <v>45845</v>
      </c>
      <c r="K123" s="83" t="s">
        <v>87</v>
      </c>
      <c r="L123" s="12"/>
      <c r="M123" s="13"/>
      <c r="N123" s="13"/>
      <c r="O123" s="13"/>
      <c r="P123" s="13"/>
      <c r="Q123" s="13"/>
      <c r="R123" s="29"/>
      <c r="S123" s="13"/>
      <c r="T123" s="13"/>
      <c r="U123" s="13"/>
      <c r="V123" s="13"/>
      <c r="W123" s="13"/>
      <c r="X123" s="29"/>
      <c r="Y123" s="13"/>
      <c r="Z123" s="13"/>
      <c r="AA123" s="13"/>
      <c r="AB123" s="13"/>
      <c r="AC123" s="13"/>
      <c r="AD123" s="29"/>
      <c r="AE123" s="13"/>
      <c r="AF123" s="13"/>
      <c r="AG123" s="13"/>
      <c r="AH123" s="13"/>
      <c r="AI123" s="13"/>
      <c r="AJ123" s="16"/>
      <c r="AK123" s="16"/>
      <c r="AL123" s="16"/>
      <c r="AM123" s="16">
        <v>1</v>
      </c>
      <c r="AN123" s="16"/>
      <c r="AO123" s="13"/>
      <c r="AP123" s="31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42"/>
      <c r="BM123" s="24">
        <f>IFERROR(COUNTA(L123:BK123)/COUNTA(L123:BK123),"")</f>
        <v>1</v>
      </c>
    </row>
    <row r="124" spans="2:65" s="4" customFormat="1" ht="24" hidden="1" customHeight="1" x14ac:dyDescent="0.25">
      <c r="B124" s="75"/>
      <c r="C124" s="79"/>
      <c r="D124" s="79"/>
      <c r="E124" s="79"/>
      <c r="F124" s="79"/>
      <c r="G124" s="73"/>
      <c r="H124" s="73"/>
      <c r="I124" s="77"/>
      <c r="J124" s="73"/>
      <c r="K124" s="73"/>
      <c r="L124" s="14"/>
      <c r="M124" s="15"/>
      <c r="N124" s="15"/>
      <c r="O124" s="15"/>
      <c r="P124" s="15"/>
      <c r="Q124" s="15"/>
      <c r="R124" s="30"/>
      <c r="S124" s="15"/>
      <c r="T124" s="15"/>
      <c r="U124" s="15"/>
      <c r="V124" s="15"/>
      <c r="W124" s="15"/>
      <c r="X124" s="30"/>
      <c r="Y124" s="15"/>
      <c r="Z124" s="15"/>
      <c r="AA124" s="15"/>
      <c r="AB124" s="15"/>
      <c r="AC124" s="15"/>
      <c r="AD124" s="30"/>
      <c r="AE124" s="15"/>
      <c r="AF124" s="15"/>
      <c r="AG124" s="15"/>
      <c r="AH124" s="15"/>
      <c r="AI124" s="15"/>
      <c r="AJ124" s="17"/>
      <c r="AK124" s="17"/>
      <c r="AL124" s="17"/>
      <c r="AM124" s="17"/>
      <c r="AN124" s="17"/>
      <c r="AO124" s="15"/>
      <c r="AP124" s="32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43"/>
      <c r="BM124" s="28">
        <f>IFERROR(COUNTIF(L124:BK124,2)/COUNTIF(L123:BK123,1),"")</f>
        <v>0</v>
      </c>
    </row>
    <row r="125" spans="2:65" s="4" customFormat="1" ht="24" hidden="1" customHeight="1" x14ac:dyDescent="0.25">
      <c r="B125" s="74">
        <v>49</v>
      </c>
      <c r="C125" s="78" t="s">
        <v>132</v>
      </c>
      <c r="D125" s="78" t="s">
        <v>135</v>
      </c>
      <c r="E125" s="80" t="s">
        <v>76</v>
      </c>
      <c r="F125" s="82" t="s">
        <v>130</v>
      </c>
      <c r="G125" s="83" t="s">
        <v>65</v>
      </c>
      <c r="H125" s="83" t="s">
        <v>79</v>
      </c>
      <c r="I125" s="76" t="str">
        <f>+IF(BM126=100%,"Terminado",IF(BM126=0%,"Por Ejecutar",IF(BM126="","","En Proceso")))</f>
        <v>Por Ejecutar</v>
      </c>
      <c r="J125" s="72">
        <f>IF(L125&gt;0,$L$27,IF(M125&gt;0,$M$27,IF(N125&gt;0,$N$27,IF(O125&gt;0,$O$27,IF(P125&gt;0,$P$27,IF(Q125&gt;0,$Q$27,IF(R125&gt;0,$R$27,IF(S125&gt;0,$S$27,IF(T125&gt;0,$T$27,IF(U125&gt;0,$U$27,IF(V125&gt;0,$V$27,IF(W125&gt;0,$W$27,IF(X125&gt;0,$X$27,IF(Y125&gt;0,$Y$27,IF(Z125&gt;0,$Z$27,IF(AA125&gt;0,$AA$27,IF(AB125&gt;0,$AB$27,IF(AC125&gt;0,$AC$27,IF(AD125&gt;0,$AD$27,IF(AE125&gt;0,$AE$27,IF(AF125&gt;0,$AF$27,IF(AG125&gt;0,$AG$27,IF(AH125&gt;0,$AH$27,IF(AI125&gt;0,$AI$27,IF(AJ125&gt;0,$AJ$27,IF(AK125&gt;0,$AK$27,IF(AL125&gt;0,$AL$27,IF(AM125&gt;0,$AM$27,IF(AN125&gt;0,$AN$27,IF(AO125&gt;0,$AO$27,IF(AP125&gt;0,$AP$27,IF(AQ125&gt;0,$AQ$27,IF(AR125&gt;0,$AR$27,IF(AS125&gt;0,$AS$27,IF(AT125&gt;0,$AT$27,IF(AU125&gt;0,$AU$27,IF(AV125&gt;0,$AV$27,IF(AW125&gt;0,$AW$27,IF(AX125&gt;0,$AX$27,IF(AY125&gt;0,$AY$27,IF(AZ125&gt;0,$AZ$27,IF(BA125&gt;0,$BA$27,IF(BB125&gt;0,$BB$27,IF(BC125&gt;0,$BC$27,IF(BD125&gt;0,$BD$27,IF(BE125&gt;0,$BE$27,IF(BF125&gt;0,$BF$27,IF(BG125&gt;0,$BG$27,IF(BH125&gt;0,$BH$27,IF(BI125&gt;0,$BI$27,IF(BJ125&gt;0,$BJ$27,IF(BK125&gt;0,$BK$27,))))))))))))))))))))))))))))))))))))))))))))))))))))</f>
        <v>45866</v>
      </c>
      <c r="K125" s="83" t="s">
        <v>92</v>
      </c>
      <c r="L125" s="12"/>
      <c r="M125" s="13"/>
      <c r="N125" s="13"/>
      <c r="O125" s="13"/>
      <c r="P125" s="13"/>
      <c r="Q125" s="13"/>
      <c r="R125" s="29"/>
      <c r="S125" s="13"/>
      <c r="T125" s="13"/>
      <c r="U125" s="13"/>
      <c r="V125" s="13"/>
      <c r="W125" s="13"/>
      <c r="X125" s="29"/>
      <c r="Y125" s="13"/>
      <c r="Z125" s="13"/>
      <c r="AA125" s="13"/>
      <c r="AB125" s="13"/>
      <c r="AC125" s="13"/>
      <c r="AD125" s="29"/>
      <c r="AE125" s="13"/>
      <c r="AF125" s="13"/>
      <c r="AG125" s="13"/>
      <c r="AH125" s="13"/>
      <c r="AI125" s="13"/>
      <c r="AJ125" s="16"/>
      <c r="AK125" s="16"/>
      <c r="AL125" s="16"/>
      <c r="AM125" s="16"/>
      <c r="AN125" s="16"/>
      <c r="AO125" s="13"/>
      <c r="AP125" s="31">
        <v>1</v>
      </c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42"/>
      <c r="BM125" s="24">
        <f>IFERROR(COUNTA(L125:BK125)/COUNTA(L125:BK125),"")</f>
        <v>1</v>
      </c>
    </row>
    <row r="126" spans="2:65" s="4" customFormat="1" ht="24" hidden="1" customHeight="1" x14ac:dyDescent="0.25">
      <c r="B126" s="75"/>
      <c r="C126" s="79"/>
      <c r="D126" s="79"/>
      <c r="E126" s="81"/>
      <c r="F126" s="82"/>
      <c r="G126" s="73"/>
      <c r="H126" s="73"/>
      <c r="I126" s="77"/>
      <c r="J126" s="73"/>
      <c r="K126" s="73"/>
      <c r="L126" s="14"/>
      <c r="M126" s="15"/>
      <c r="N126" s="15"/>
      <c r="O126" s="15"/>
      <c r="P126" s="15"/>
      <c r="Q126" s="15"/>
      <c r="R126" s="30"/>
      <c r="S126" s="15"/>
      <c r="T126" s="15"/>
      <c r="U126" s="15"/>
      <c r="V126" s="15"/>
      <c r="W126" s="15"/>
      <c r="X126" s="30"/>
      <c r="Y126" s="15"/>
      <c r="Z126" s="15"/>
      <c r="AA126" s="15"/>
      <c r="AB126" s="15"/>
      <c r="AC126" s="15"/>
      <c r="AD126" s="30"/>
      <c r="AE126" s="15"/>
      <c r="AF126" s="15"/>
      <c r="AG126" s="15"/>
      <c r="AH126" s="15"/>
      <c r="AI126" s="15"/>
      <c r="AJ126" s="17"/>
      <c r="AK126" s="17"/>
      <c r="AL126" s="17"/>
      <c r="AM126" s="17"/>
      <c r="AN126" s="17"/>
      <c r="AO126" s="15"/>
      <c r="AP126" s="32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43"/>
      <c r="BM126" s="28">
        <f>IFERROR(COUNTIF(L126:BK126,2)/COUNTIF(L125:BK125,1),"")</f>
        <v>0</v>
      </c>
    </row>
    <row r="127" spans="2:65" s="4" customFormat="1" ht="24" hidden="1" customHeight="1" x14ac:dyDescent="0.25">
      <c r="B127" s="74">
        <v>50</v>
      </c>
      <c r="C127" s="78" t="s">
        <v>138</v>
      </c>
      <c r="D127" s="78" t="s">
        <v>139</v>
      </c>
      <c r="E127" s="80" t="s">
        <v>76</v>
      </c>
      <c r="F127" s="82" t="s">
        <v>130</v>
      </c>
      <c r="G127" s="83" t="s">
        <v>65</v>
      </c>
      <c r="H127" s="83" t="s">
        <v>79</v>
      </c>
      <c r="I127" s="76" t="str">
        <f t="shared" ref="I127:I135" si="4">+IF(BM128=100%,"Terminado",IF(BM128=0%,"Por Ejecutar",IF(BM128="","","En Proceso")))</f>
        <v>Por Ejecutar</v>
      </c>
      <c r="J127" s="72">
        <f>IF(L127&gt;0,$L$27,IF(M127&gt;0,$M$27,IF(N127&gt;0,$N$27,IF(O127&gt;0,$O$27,IF(P127&gt;0,$P$27,IF(Q127&gt;0,$Q$27,IF(R127&gt;0,$R$27,IF(S127&gt;0,$S$27,IF(T127&gt;0,$T$27,IF(U127&gt;0,$U$27,IF(V127&gt;0,$V$27,IF(W127&gt;0,$W$27,IF(X127&gt;0,$X$27,IF(Y127&gt;0,$Y$27,IF(Z127&gt;0,$Z$27,IF(AA127&gt;0,$AA$27,IF(AB127&gt;0,$AB$27,IF(AC127&gt;0,$AC$27,IF(AD127&gt;0,$AD$27,IF(AE127&gt;0,$AE$27,IF(AF127&gt;0,$AF$27,IF(AG127&gt;0,$AG$27,IF(AH127&gt;0,$AH$27,IF(AI127&gt;0,$AI$27,IF(AJ127&gt;0,$AJ$27,IF(AK127&gt;0,$AK$27,IF(AL127&gt;0,$AL$27,IF(AM127&gt;0,$AM$27,IF(AN127&gt;0,$AN$27,IF(AO127&gt;0,$AO$27,IF(AP127&gt;0,$AP$27,IF(AQ127&gt;0,$AQ$27,IF(AR127&gt;0,$AR$27,IF(AS127&gt;0,$AS$27,IF(AT127&gt;0,$AT$27,IF(AU127&gt;0,$AU$27,IF(AV127&gt;0,$AV$27,IF(AW127&gt;0,$AW$27,IF(AX127&gt;0,$AX$27,IF(AY127&gt;0,$AY$27,IF(AZ127&gt;0,$AZ$27,IF(BA127&gt;0,$BA$27,IF(BB127&gt;0,$BB$27,IF(BC127&gt;0,$BC$27,IF(BD127&gt;0,$BD$27,IF(BE127&gt;0,$BE$27,IF(BF127&gt;0,$BF$27,IF(BG127&gt;0,$BG$27,IF(BH127&gt;0,$BH$27,IF(BI127&gt;0,$BI$27,IF(BJ127&gt;0,$BJ$27,IF(BK127&gt;0,$BK$27,))))))))))))))))))))))))))))))))))))))))))))))))))))</f>
        <v>45894</v>
      </c>
      <c r="K127" s="83" t="s">
        <v>92</v>
      </c>
      <c r="L127" s="12"/>
      <c r="M127" s="13"/>
      <c r="N127" s="13"/>
      <c r="O127" s="13"/>
      <c r="P127" s="13"/>
      <c r="Q127" s="13"/>
      <c r="R127" s="29"/>
      <c r="S127" s="13"/>
      <c r="T127" s="13"/>
      <c r="U127" s="13"/>
      <c r="V127" s="13"/>
      <c r="W127" s="13"/>
      <c r="X127" s="29"/>
      <c r="Y127" s="13"/>
      <c r="Z127" s="13"/>
      <c r="AA127" s="13"/>
      <c r="AB127" s="13"/>
      <c r="AC127" s="13"/>
      <c r="AD127" s="29"/>
      <c r="AE127" s="13"/>
      <c r="AF127" s="13"/>
      <c r="AG127" s="13"/>
      <c r="AH127" s="13"/>
      <c r="AI127" s="13"/>
      <c r="AJ127" s="16"/>
      <c r="AK127" s="16"/>
      <c r="AL127" s="16"/>
      <c r="AM127" s="16"/>
      <c r="AN127" s="16"/>
      <c r="AO127" s="13"/>
      <c r="AP127" s="31"/>
      <c r="AQ127" s="16"/>
      <c r="AR127" s="16"/>
      <c r="AS127" s="16"/>
      <c r="AT127" s="31">
        <v>1</v>
      </c>
      <c r="AU127" s="31"/>
      <c r="AV127" s="31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42"/>
      <c r="BM127" s="24">
        <f>IFERROR(COUNTA(L127:BK127)/COUNTA(L127:BK127),"")</f>
        <v>1</v>
      </c>
    </row>
    <row r="128" spans="2:65" s="4" customFormat="1" ht="24" hidden="1" customHeight="1" x14ac:dyDescent="0.25">
      <c r="B128" s="75"/>
      <c r="C128" s="79"/>
      <c r="D128" s="79"/>
      <c r="E128" s="81"/>
      <c r="F128" s="82"/>
      <c r="G128" s="73"/>
      <c r="H128" s="73"/>
      <c r="I128" s="77"/>
      <c r="J128" s="73"/>
      <c r="K128" s="73"/>
      <c r="L128" s="14"/>
      <c r="M128" s="15"/>
      <c r="N128" s="15"/>
      <c r="O128" s="15"/>
      <c r="P128" s="15"/>
      <c r="Q128" s="15"/>
      <c r="R128" s="30"/>
      <c r="S128" s="15"/>
      <c r="T128" s="15"/>
      <c r="U128" s="15"/>
      <c r="V128" s="15"/>
      <c r="W128" s="15"/>
      <c r="X128" s="30"/>
      <c r="Y128" s="15"/>
      <c r="Z128" s="15"/>
      <c r="AA128" s="15"/>
      <c r="AB128" s="15"/>
      <c r="AC128" s="15"/>
      <c r="AD128" s="30"/>
      <c r="AE128" s="15"/>
      <c r="AF128" s="15"/>
      <c r="AG128" s="15"/>
      <c r="AH128" s="15"/>
      <c r="AI128" s="15"/>
      <c r="AJ128" s="17"/>
      <c r="AK128" s="17"/>
      <c r="AL128" s="17"/>
      <c r="AM128" s="17"/>
      <c r="AN128" s="17"/>
      <c r="AO128" s="15"/>
      <c r="AP128" s="32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43"/>
      <c r="BM128" s="28">
        <f>IFERROR(COUNTIF(L128:BK128,2)/COUNTIF(L127:BK127,1),"")</f>
        <v>0</v>
      </c>
    </row>
    <row r="129" spans="2:65" s="4" customFormat="1" ht="24" hidden="1" customHeight="1" x14ac:dyDescent="0.25">
      <c r="B129" s="74">
        <v>51</v>
      </c>
      <c r="C129" s="78" t="s">
        <v>132</v>
      </c>
      <c r="D129" s="78" t="s">
        <v>141</v>
      </c>
      <c r="E129" s="80" t="s">
        <v>77</v>
      </c>
      <c r="F129" s="82" t="s">
        <v>140</v>
      </c>
      <c r="G129" s="83" t="s">
        <v>65</v>
      </c>
      <c r="H129" s="83" t="s">
        <v>79</v>
      </c>
      <c r="I129" s="76" t="str">
        <f t="shared" si="4"/>
        <v>Por Ejecutar</v>
      </c>
      <c r="J129" s="72">
        <f>IF(L129&gt;0,$L$27,IF(M129&gt;0,$M$27,IF(N129&gt;0,$N$27,IF(O129&gt;0,$O$27,IF(P129&gt;0,$P$27,IF(Q129&gt;0,$Q$27,IF(R129&gt;0,$R$27,IF(S129&gt;0,$S$27,IF(T129&gt;0,$T$27,IF(U129&gt;0,$U$27,IF(V129&gt;0,$V$27,IF(W129&gt;0,$W$27,IF(X129&gt;0,$X$27,IF(Y129&gt;0,$Y$27,IF(Z129&gt;0,$Z$27,IF(AA129&gt;0,$AA$27,IF(AB129&gt;0,$AB$27,IF(AC129&gt;0,$AC$27,IF(AD129&gt;0,$AD$27,IF(AE129&gt;0,$AE$27,IF(AF129&gt;0,$AF$27,IF(AG129&gt;0,$AG$27,IF(AH129&gt;0,$AH$27,IF(AI129&gt;0,$AI$27,IF(AJ129&gt;0,$AJ$27,IF(AK129&gt;0,$AK$27,IF(AL129&gt;0,$AL$27,IF(AM129&gt;0,$AM$27,IF(AN129&gt;0,$AN$27,IF(AO129&gt;0,$AO$27,IF(AP129&gt;0,$AP$27,IF(AQ129&gt;0,$AQ$27,IF(AR129&gt;0,$AR$27,IF(AS129&gt;0,$AS$27,IF(AT129&gt;0,$AT$27,IF(AU129&gt;0,$AU$27,IF(AV129&gt;0,$AV$27,IF(AW129&gt;0,$AW$27,IF(AX129&gt;0,$AX$27,IF(AY129&gt;0,$AY$27,IF(AZ129&gt;0,$AZ$27,IF(BA129&gt;0,$BA$27,IF(BB129&gt;0,$BB$27,IF(BC129&gt;0,$BC$27,IF(BD129&gt;0,$BD$27,IF(BE129&gt;0,$BE$27,IF(BF129&gt;0,$BF$27,IF(BG129&gt;0,$BG$27,IF(BH129&gt;0,$BH$27,IF(BI129&gt;0,$BI$27,IF(BJ129&gt;0,$BJ$27,IF(BK129&gt;0,$BK$27,))))))))))))))))))))))))))))))))))))))))))))))))))))</f>
        <v>45677</v>
      </c>
      <c r="K129" s="83" t="s">
        <v>233</v>
      </c>
      <c r="L129" s="12"/>
      <c r="M129" s="13"/>
      <c r="N129" s="13"/>
      <c r="O129" s="13">
        <v>1</v>
      </c>
      <c r="P129" s="13"/>
      <c r="Q129" s="13"/>
      <c r="R129" s="29"/>
      <c r="S129" s="13"/>
      <c r="T129" s="13"/>
      <c r="U129" s="13"/>
      <c r="V129" s="13"/>
      <c r="W129" s="13"/>
      <c r="X129" s="29"/>
      <c r="Y129" s="13"/>
      <c r="Z129" s="13"/>
      <c r="AA129" s="13"/>
      <c r="AB129" s="13"/>
      <c r="AC129" s="13"/>
      <c r="AD129" s="29"/>
      <c r="AE129" s="13"/>
      <c r="AF129" s="13"/>
      <c r="AG129" s="13"/>
      <c r="AH129" s="13"/>
      <c r="AI129" s="13"/>
      <c r="AJ129" s="16"/>
      <c r="AK129" s="16"/>
      <c r="AL129" s="16"/>
      <c r="AM129" s="16"/>
      <c r="AN129" s="16"/>
      <c r="AO129" s="13"/>
      <c r="AP129" s="31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42"/>
      <c r="BM129" s="24">
        <f>IFERROR(COUNTA(L129:BK129)/COUNTA(L129:BK129),"")</f>
        <v>1</v>
      </c>
    </row>
    <row r="130" spans="2:65" s="4" customFormat="1" ht="24" hidden="1" customHeight="1" x14ac:dyDescent="0.25">
      <c r="B130" s="75"/>
      <c r="C130" s="79"/>
      <c r="D130" s="79"/>
      <c r="E130" s="81"/>
      <c r="F130" s="82"/>
      <c r="G130" s="73"/>
      <c r="H130" s="73"/>
      <c r="I130" s="77"/>
      <c r="J130" s="73"/>
      <c r="K130" s="73"/>
      <c r="L130" s="14"/>
      <c r="M130" s="15"/>
      <c r="N130" s="15"/>
      <c r="O130" s="15"/>
      <c r="P130" s="15"/>
      <c r="Q130" s="15"/>
      <c r="R130" s="30"/>
      <c r="S130" s="15"/>
      <c r="T130" s="15"/>
      <c r="U130" s="15"/>
      <c r="V130" s="15"/>
      <c r="W130" s="15"/>
      <c r="X130" s="30"/>
      <c r="Y130" s="15"/>
      <c r="Z130" s="15"/>
      <c r="AA130" s="15"/>
      <c r="AB130" s="15"/>
      <c r="AC130" s="15"/>
      <c r="AD130" s="30"/>
      <c r="AE130" s="15"/>
      <c r="AF130" s="15"/>
      <c r="AG130" s="15"/>
      <c r="AH130" s="15"/>
      <c r="AI130" s="15"/>
      <c r="AJ130" s="17"/>
      <c r="AK130" s="17"/>
      <c r="AL130" s="17"/>
      <c r="AM130" s="17"/>
      <c r="AN130" s="17"/>
      <c r="AO130" s="15"/>
      <c r="AP130" s="32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43"/>
      <c r="BM130" s="28">
        <f>IFERROR(COUNTIF(L130:BK130,2)/COUNTIF(L129:BK129,1),"")</f>
        <v>0</v>
      </c>
    </row>
    <row r="131" spans="2:65" s="4" customFormat="1" ht="24" hidden="1" customHeight="1" x14ac:dyDescent="0.25">
      <c r="B131" s="74">
        <v>52</v>
      </c>
      <c r="C131" s="78" t="s">
        <v>132</v>
      </c>
      <c r="D131" s="78" t="s">
        <v>145</v>
      </c>
      <c r="E131" s="80" t="s">
        <v>76</v>
      </c>
      <c r="F131" s="84" t="s">
        <v>144</v>
      </c>
      <c r="G131" s="83" t="s">
        <v>65</v>
      </c>
      <c r="H131" s="83" t="s">
        <v>79</v>
      </c>
      <c r="I131" s="76" t="str">
        <f t="shared" si="4"/>
        <v>Por Ejecutar</v>
      </c>
      <c r="J131" s="72">
        <f>IF(L131&gt;0,$L$27,IF(M131&gt;0,$M$27,IF(N131&gt;0,$N$27,IF(O131&gt;0,$O$27,IF(P131&gt;0,$P$27,IF(Q131&gt;0,$Q$27,IF(R131&gt;0,$R$27,IF(S131&gt;0,$S$27,IF(T131&gt;0,$T$27,IF(U131&gt;0,$U$27,IF(V131&gt;0,$V$27,IF(W131&gt;0,$W$27,IF(X131&gt;0,$X$27,IF(Y131&gt;0,$Y$27,IF(Z131&gt;0,$Z$27,IF(AA131&gt;0,$AA$27,IF(AB131&gt;0,$AB$27,IF(AC131&gt;0,$AC$27,IF(AD131&gt;0,$AD$27,IF(AE131&gt;0,$AE$27,IF(AF131&gt;0,$AF$27,IF(AG131&gt;0,$AG$27,IF(AH131&gt;0,$AH$27,IF(AI131&gt;0,$AI$27,IF(AJ131&gt;0,$AJ$27,IF(AK131&gt;0,$AK$27,IF(AL131&gt;0,$AL$27,IF(AM131&gt;0,$AM$27,IF(AN131&gt;0,$AN$27,IF(AO131&gt;0,$AO$27,IF(AP131&gt;0,$AP$27,IF(AQ131&gt;0,$AQ$27,IF(AR131&gt;0,$AR$27,IF(AS131&gt;0,$AS$27,IF(AT131&gt;0,$AT$27,IF(AU131&gt;0,$AU$27,IF(AV131&gt;0,$AV$27,IF(AW131&gt;0,$AW$27,IF(AX131&gt;0,$AX$27,IF(AY131&gt;0,$AY$27,IF(AZ131&gt;0,$AZ$27,IF(BA131&gt;0,$BA$27,IF(BB131&gt;0,$BB$27,IF(BC131&gt;0,$BC$27,IF(BD131&gt;0,$BD$27,IF(BE131&gt;0,$BE$27,IF(BF131&gt;0,$BF$27,IF(BG131&gt;0,$BG$27,IF(BH131&gt;0,$BH$27,IF(BI131&gt;0,$BI$27,IF(BJ131&gt;0,$BJ$27,IF(BK131&gt;0,$BK$27,))))))))))))))))))))))))))))))))))))))))))))))))))))</f>
        <v>45782</v>
      </c>
      <c r="K131" s="83" t="s">
        <v>233</v>
      </c>
      <c r="L131" s="12"/>
      <c r="M131" s="13"/>
      <c r="N131" s="13"/>
      <c r="O131" s="13"/>
      <c r="P131" s="13"/>
      <c r="Q131" s="13"/>
      <c r="R131" s="29"/>
      <c r="S131" s="13"/>
      <c r="T131" s="13"/>
      <c r="U131" s="13"/>
      <c r="V131" s="13"/>
      <c r="W131" s="13"/>
      <c r="X131" s="29"/>
      <c r="Y131" s="13"/>
      <c r="Z131" s="13"/>
      <c r="AA131" s="13"/>
      <c r="AB131" s="13"/>
      <c r="AC131" s="13"/>
      <c r="AD131" s="59">
        <v>1</v>
      </c>
      <c r="AE131" s="59">
        <v>1</v>
      </c>
      <c r="AF131" s="59">
        <v>1</v>
      </c>
      <c r="AG131" s="59">
        <v>1</v>
      </c>
      <c r="AH131" s="59">
        <v>1</v>
      </c>
      <c r="AI131" s="59">
        <v>1</v>
      </c>
      <c r="AJ131" s="16"/>
      <c r="AK131" s="16"/>
      <c r="AL131" s="16"/>
      <c r="AM131" s="16"/>
      <c r="AN131" s="16"/>
      <c r="AO131" s="13"/>
      <c r="AP131" s="31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>
        <v>1</v>
      </c>
      <c r="BB131" s="16">
        <v>1</v>
      </c>
      <c r="BC131" s="16">
        <v>1</v>
      </c>
      <c r="BD131" s="16"/>
      <c r="BE131" s="16"/>
      <c r="BF131" s="16"/>
      <c r="BG131" s="16"/>
      <c r="BH131" s="16"/>
      <c r="BI131" s="16"/>
      <c r="BJ131" s="16"/>
      <c r="BK131" s="42"/>
      <c r="BM131" s="52"/>
    </row>
    <row r="132" spans="2:65" s="4" customFormat="1" ht="24" hidden="1" customHeight="1" x14ac:dyDescent="0.25">
      <c r="B132" s="75"/>
      <c r="C132" s="79"/>
      <c r="D132" s="79"/>
      <c r="E132" s="81"/>
      <c r="F132" s="82"/>
      <c r="G132" s="73"/>
      <c r="H132" s="73"/>
      <c r="I132" s="77"/>
      <c r="J132" s="73"/>
      <c r="K132" s="73"/>
      <c r="L132" s="14"/>
      <c r="M132" s="15"/>
      <c r="N132" s="15"/>
      <c r="O132" s="15"/>
      <c r="P132" s="15"/>
      <c r="Q132" s="15"/>
      <c r="R132" s="30"/>
      <c r="S132" s="15"/>
      <c r="T132" s="15"/>
      <c r="U132" s="15"/>
      <c r="V132" s="15"/>
      <c r="W132" s="15"/>
      <c r="X132" s="30"/>
      <c r="Y132" s="15"/>
      <c r="Z132" s="15"/>
      <c r="AA132" s="15"/>
      <c r="AB132" s="15"/>
      <c r="AC132" s="15"/>
      <c r="AD132" s="30"/>
      <c r="AE132" s="15"/>
      <c r="AF132" s="15"/>
      <c r="AG132" s="15"/>
      <c r="AH132" s="15"/>
      <c r="AI132" s="15"/>
      <c r="AJ132" s="17"/>
      <c r="AK132" s="17"/>
      <c r="AL132" s="17"/>
      <c r="AM132" s="17"/>
      <c r="AN132" s="17"/>
      <c r="AO132" s="15"/>
      <c r="AP132" s="32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43"/>
      <c r="BM132" s="52"/>
    </row>
    <row r="133" spans="2:65" s="4" customFormat="1" ht="24" hidden="1" customHeight="1" x14ac:dyDescent="0.25">
      <c r="B133" s="74">
        <v>53</v>
      </c>
      <c r="C133" s="78" t="s">
        <v>136</v>
      </c>
      <c r="D133" s="78" t="s">
        <v>134</v>
      </c>
      <c r="E133" s="80" t="s">
        <v>76</v>
      </c>
      <c r="F133" s="80" t="s">
        <v>239</v>
      </c>
      <c r="G133" s="83" t="s">
        <v>65</v>
      </c>
      <c r="H133" s="83" t="s">
        <v>79</v>
      </c>
      <c r="I133" s="76" t="str">
        <f t="shared" si="4"/>
        <v>Por Ejecutar</v>
      </c>
      <c r="J133" s="72">
        <f>IF(L133&gt;0,$L$27,IF(M133&gt;0,$M$27,IF(N133&gt;0,$N$27,IF(O133&gt;0,$O$27,IF(P133&gt;0,$P$27,IF(Q133&gt;0,$Q$27,IF(R133&gt;0,$R$27,IF(S133&gt;0,$S$27,IF(T133&gt;0,$T$27,IF(U133&gt;0,$U$27,IF(V133&gt;0,$V$27,IF(W133&gt;0,$W$27,IF(X133&gt;0,$X$27,IF(Y133&gt;0,$Y$27,IF(Z133&gt;0,$Z$27,IF(AA133&gt;0,$AA$27,IF(AB133&gt;0,$AB$27,IF(AC133&gt;0,$AC$27,IF(AD133&gt;0,$AD$27,IF(AE133&gt;0,$AE$27,IF(AF133&gt;0,$AF$27,IF(AG133&gt;0,$AG$27,IF(AH133&gt;0,$AH$27,IF(AI133&gt;0,$AI$27,IF(AJ133&gt;0,$AJ$27,IF(AK133&gt;0,$AK$27,IF(AL133&gt;0,$AL$27,IF(AM133&gt;0,$AM$27,IF(AN133&gt;0,$AN$27,IF(AO133&gt;0,$AO$27,IF(AP133&gt;0,$AP$27,IF(AQ133&gt;0,$AQ$27,IF(AR133&gt;0,$AR$27,IF(AS133&gt;0,$AS$27,IF(AT133&gt;0,$AT$27,IF(AU133&gt;0,$AU$27,IF(AV133&gt;0,$AV$27,IF(AW133&gt;0,$AW$27,IF(AX133&gt;0,$AX$27,IF(AY133&gt;0,$AY$27,IF(AZ133&gt;0,$AZ$27,IF(BA133&gt;0,$BA$27,IF(BB133&gt;0,$BB$27,IF(BC133&gt;0,$BC$27,IF(BD133&gt;0,$BD$27,IF(BE133&gt;0,$BE$27,IF(BF133&gt;0,$BF$27,IF(BG133&gt;0,$BG$27,IF(BH133&gt;0,$BH$27,IF(BI133&gt;0,$BI$27,IF(BJ133&gt;0,$BJ$27,IF(BK133&gt;0,$BK$27,))))))))))))))))))))))))))))))))))))))))))))))))))))</f>
        <v>45817</v>
      </c>
      <c r="K133" s="83" t="s">
        <v>92</v>
      </c>
      <c r="L133" s="12"/>
      <c r="M133" s="13"/>
      <c r="N133" s="13"/>
      <c r="O133" s="13"/>
      <c r="P133" s="13"/>
      <c r="Q133" s="13"/>
      <c r="R133" s="29"/>
      <c r="S133" s="13"/>
      <c r="T133" s="13"/>
      <c r="U133" s="13"/>
      <c r="V133" s="13"/>
      <c r="W133" s="13"/>
      <c r="X133" s="29"/>
      <c r="Y133" s="13"/>
      <c r="Z133" s="13"/>
      <c r="AA133" s="13"/>
      <c r="AB133" s="13"/>
      <c r="AC133" s="13"/>
      <c r="AD133" s="59"/>
      <c r="AE133" s="59"/>
      <c r="AF133" s="59"/>
      <c r="AG133" s="59"/>
      <c r="AH133" s="59"/>
      <c r="AI133" s="59">
        <v>1</v>
      </c>
      <c r="AJ133" s="16"/>
      <c r="AK133" s="16"/>
      <c r="AL133" s="16"/>
      <c r="AM133" s="16"/>
      <c r="AN133" s="16"/>
      <c r="AO133" s="13"/>
      <c r="AP133" s="31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42"/>
      <c r="BM133" s="52"/>
    </row>
    <row r="134" spans="2:65" s="4" customFormat="1" ht="24" hidden="1" customHeight="1" x14ac:dyDescent="0.25">
      <c r="B134" s="75"/>
      <c r="C134" s="79"/>
      <c r="D134" s="79"/>
      <c r="E134" s="81"/>
      <c r="F134" s="81"/>
      <c r="G134" s="73"/>
      <c r="H134" s="73"/>
      <c r="I134" s="77"/>
      <c r="J134" s="73"/>
      <c r="K134" s="73"/>
      <c r="L134" s="14"/>
      <c r="M134" s="15"/>
      <c r="N134" s="15"/>
      <c r="O134" s="15"/>
      <c r="P134" s="15"/>
      <c r="Q134" s="15"/>
      <c r="R134" s="30"/>
      <c r="S134" s="15"/>
      <c r="T134" s="15"/>
      <c r="U134" s="15"/>
      <c r="V134" s="15"/>
      <c r="W134" s="15"/>
      <c r="X134" s="30"/>
      <c r="Y134" s="15"/>
      <c r="Z134" s="15"/>
      <c r="AA134" s="15"/>
      <c r="AB134" s="15"/>
      <c r="AC134" s="15"/>
      <c r="AD134" s="30"/>
      <c r="AE134" s="15"/>
      <c r="AF134" s="15"/>
      <c r="AG134" s="15"/>
      <c r="AH134" s="15"/>
      <c r="AI134" s="15"/>
      <c r="AJ134" s="17"/>
      <c r="AK134" s="17"/>
      <c r="AL134" s="17"/>
      <c r="AM134" s="17"/>
      <c r="AN134" s="17"/>
      <c r="AO134" s="15"/>
      <c r="AP134" s="32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43"/>
      <c r="BM134" s="52"/>
    </row>
    <row r="135" spans="2:65" s="4" customFormat="1" ht="24" hidden="1" customHeight="1" x14ac:dyDescent="0.25">
      <c r="B135" s="74">
        <v>54</v>
      </c>
      <c r="C135" s="78" t="s">
        <v>132</v>
      </c>
      <c r="D135" s="78" t="s">
        <v>137</v>
      </c>
      <c r="E135" s="80" t="s">
        <v>76</v>
      </c>
      <c r="F135" s="80" t="s">
        <v>239</v>
      </c>
      <c r="G135" s="83" t="s">
        <v>65</v>
      </c>
      <c r="H135" s="83" t="s">
        <v>79</v>
      </c>
      <c r="I135" s="76" t="str">
        <f t="shared" si="4"/>
        <v>Por Ejecutar</v>
      </c>
      <c r="J135" s="72">
        <f>IF(L135&gt;0,$L$27,IF(M135&gt;0,$M$27,IF(N135&gt;0,$N$27,IF(O135&gt;0,$O$27,IF(P135&gt;0,$P$27,IF(Q135&gt;0,$Q$27,IF(R135&gt;0,$R$27,IF(S135&gt;0,$S$27,IF(T135&gt;0,$T$27,IF(U135&gt;0,$U$27,IF(V135&gt;0,$V$27,IF(W135&gt;0,$W$27,IF(X135&gt;0,$X$27,IF(Y135&gt;0,$Y$27,IF(Z135&gt;0,$Z$27,IF(AA135&gt;0,$AA$27,IF(AB135&gt;0,$AB$27,IF(AC135&gt;0,$AC$27,IF(AD135&gt;0,$AD$27,IF(AE135&gt;0,$AE$27,IF(AF135&gt;0,$AF$27,IF(AG135&gt;0,$AG$27,IF(AH135&gt;0,$AH$27,IF(AI135&gt;0,$AI$27,IF(AJ135&gt;0,$AJ$27,IF(AK135&gt;0,$AK$27,IF(AL135&gt;0,$AL$27,IF(AM135&gt;0,$AM$27,IF(AN135&gt;0,$AN$27,IF(AO135&gt;0,$AO$27,IF(AP135&gt;0,$AP$27,IF(AQ135&gt;0,$AQ$27,IF(AR135&gt;0,$AR$27,IF(AS135&gt;0,$AS$27,IF(AT135&gt;0,$AT$27,IF(AU135&gt;0,$AU$27,IF(AV135&gt;0,$AV$27,IF(AW135&gt;0,$AW$27,IF(AX135&gt;0,$AX$27,IF(AY135&gt;0,$AY$27,IF(AZ135&gt;0,$AZ$27,IF(BA135&gt;0,$BA$27,IF(BB135&gt;0,$BB$27,IF(BC135&gt;0,$BC$27,IF(BD135&gt;0,$BD$27,IF(BE135&gt;0,$BE$27,IF(BF135&gt;0,$BF$27,IF(BG135&gt;0,$BG$27,IF(BH135&gt;0,$BH$27,IF(BI135&gt;0,$BI$27,IF(BJ135&gt;0,$BJ$27,IF(BK135&gt;0,$BK$27,))))))))))))))))))))))))))))))))))))))))))))))))))))</f>
        <v>45782</v>
      </c>
      <c r="K135" s="83" t="s">
        <v>92</v>
      </c>
      <c r="L135" s="12"/>
      <c r="M135" s="13"/>
      <c r="N135" s="13"/>
      <c r="O135" s="13"/>
      <c r="P135" s="13"/>
      <c r="Q135" s="13"/>
      <c r="R135" s="29"/>
      <c r="S135" s="13"/>
      <c r="T135" s="13"/>
      <c r="U135" s="13"/>
      <c r="V135" s="13"/>
      <c r="W135" s="13"/>
      <c r="X135" s="29"/>
      <c r="Y135" s="13"/>
      <c r="Z135" s="13"/>
      <c r="AA135" s="13"/>
      <c r="AB135" s="13"/>
      <c r="AC135" s="13"/>
      <c r="AD135" s="59">
        <v>1</v>
      </c>
      <c r="AE135" s="59">
        <v>1</v>
      </c>
      <c r="AF135" s="59">
        <v>1</v>
      </c>
      <c r="AG135" s="59">
        <v>1</v>
      </c>
      <c r="AH135" s="59">
        <v>1</v>
      </c>
      <c r="AI135" s="59">
        <v>1</v>
      </c>
      <c r="AJ135" s="16"/>
      <c r="AK135" s="16"/>
      <c r="AL135" s="16"/>
      <c r="AM135" s="16"/>
      <c r="AN135" s="16"/>
      <c r="AO135" s="13"/>
      <c r="AP135" s="31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>
        <v>1</v>
      </c>
      <c r="BB135" s="16">
        <v>1</v>
      </c>
      <c r="BC135" s="16">
        <v>1</v>
      </c>
      <c r="BD135" s="16"/>
      <c r="BE135" s="16"/>
      <c r="BF135" s="16"/>
      <c r="BG135" s="16"/>
      <c r="BH135" s="16"/>
      <c r="BI135" s="16"/>
      <c r="BJ135" s="16"/>
      <c r="BK135" s="42"/>
      <c r="BM135" s="52"/>
    </row>
    <row r="136" spans="2:65" s="4" customFormat="1" ht="24" hidden="1" customHeight="1" x14ac:dyDescent="0.25">
      <c r="B136" s="75"/>
      <c r="C136" s="79"/>
      <c r="D136" s="79"/>
      <c r="E136" s="81"/>
      <c r="F136" s="81"/>
      <c r="G136" s="73"/>
      <c r="H136" s="73"/>
      <c r="I136" s="77"/>
      <c r="J136" s="73"/>
      <c r="K136" s="73"/>
      <c r="L136" s="14"/>
      <c r="M136" s="15"/>
      <c r="N136" s="15"/>
      <c r="O136" s="15"/>
      <c r="P136" s="15"/>
      <c r="Q136" s="15"/>
      <c r="R136" s="30"/>
      <c r="S136" s="15"/>
      <c r="T136" s="15"/>
      <c r="U136" s="15"/>
      <c r="V136" s="15"/>
      <c r="W136" s="15"/>
      <c r="X136" s="30"/>
      <c r="Y136" s="15"/>
      <c r="Z136" s="15"/>
      <c r="AA136" s="15"/>
      <c r="AB136" s="15"/>
      <c r="AC136" s="15"/>
      <c r="AD136" s="30"/>
      <c r="AE136" s="15"/>
      <c r="AF136" s="15"/>
      <c r="AG136" s="15"/>
      <c r="AH136" s="15"/>
      <c r="AI136" s="15"/>
      <c r="AJ136" s="17"/>
      <c r="AK136" s="17"/>
      <c r="AL136" s="17"/>
      <c r="AM136" s="17"/>
      <c r="AN136" s="17"/>
      <c r="AO136" s="15"/>
      <c r="AP136" s="32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43"/>
      <c r="BM136" s="52"/>
    </row>
    <row r="137" spans="2:65" s="4" customFormat="1" ht="24" hidden="1" customHeight="1" x14ac:dyDescent="0.25">
      <c r="B137" s="74">
        <v>55</v>
      </c>
      <c r="C137" s="78" t="s">
        <v>132</v>
      </c>
      <c r="D137" s="78" t="s">
        <v>158</v>
      </c>
      <c r="E137" s="80" t="s">
        <v>78</v>
      </c>
      <c r="F137" s="82" t="s">
        <v>157</v>
      </c>
      <c r="G137" s="83" t="s">
        <v>65</v>
      </c>
      <c r="H137" s="83" t="s">
        <v>79</v>
      </c>
      <c r="I137" s="76" t="str">
        <f>+IF(BM138=100%,"Terminado",IF(BM138=0%,"Por Ejecutar",IF(BM138="","","En Proceso")))</f>
        <v>Por Ejecutar</v>
      </c>
      <c r="J137" s="72">
        <f>IF(L137&gt;0,$L$27,IF(M137&gt;0,$M$27,IF(N137&gt;0,$N$27,IF(O137&gt;0,$O$27,IF(P137&gt;0,$P$27,IF(Q137&gt;0,$Q$27,IF(R137&gt;0,$R$27,IF(S137&gt;0,$S$27,IF(T137&gt;0,$T$27,IF(U137&gt;0,$U$27,IF(V137&gt;0,$V$27,IF(W137&gt;0,$W$27,IF(X137&gt;0,$X$27,IF(Y137&gt;0,$Y$27,IF(Z137&gt;0,$Z$27,IF(AA137&gt;0,$AA$27,IF(AB137&gt;0,$AB$27,IF(AC137&gt;0,$AC$27,IF(AD137&gt;0,$AD$27,IF(AE137&gt;0,$AE$27,IF(AF137&gt;0,$AF$27,IF(AG137&gt;0,$AG$27,IF(AH137&gt;0,$AH$27,IF(AI137&gt;0,$AI$27,IF(AJ137&gt;0,$AJ$27,IF(AK137&gt;0,$AK$27,IF(AL137&gt;0,$AL$27,IF(AM137&gt;0,$AM$27,IF(AN137&gt;0,$AN$27,IF(AO137&gt;0,$AO$27,IF(AP137&gt;0,$AP$27,IF(AQ137&gt;0,$AQ$27,IF(AR137&gt;0,$AR$27,IF(AS137&gt;0,$AS$27,IF(AT137&gt;0,$AT$27,IF(AU137&gt;0,$AU$27,IF(AV137&gt;0,$AV$27,IF(AW137&gt;0,$AW$27,IF(AX137&gt;0,$AX$27,IF(AY137&gt;0,$AY$27,IF(AZ137&gt;0,$AZ$27,IF(BA137&gt;0,$BA$27,IF(BB137&gt;0,$BB$27,IF(BC137&gt;0,$BC$27,IF(BD137&gt;0,$BD$27,IF(BE137&gt;0,$BE$27,IF(BF137&gt;0,$BF$27,IF(BG137&gt;0,$BG$27,IF(BH137&gt;0,$BH$27,IF(BI137&gt;0,$BI$27,IF(BJ137&gt;0,$BJ$27,IF(BK137&gt;0,$BK$27,))))))))))))))))))))))))))))))))))))))))))))))))))))</f>
        <v>45915</v>
      </c>
      <c r="K137" s="83" t="s">
        <v>92</v>
      </c>
      <c r="L137" s="12"/>
      <c r="M137" s="13"/>
      <c r="N137" s="13"/>
      <c r="O137" s="13"/>
      <c r="P137" s="13"/>
      <c r="Q137" s="13"/>
      <c r="R137" s="29"/>
      <c r="S137" s="13"/>
      <c r="T137" s="13"/>
      <c r="U137" s="13"/>
      <c r="V137" s="13"/>
      <c r="W137" s="13"/>
      <c r="X137" s="29"/>
      <c r="Y137" s="13"/>
      <c r="Z137" s="13"/>
      <c r="AA137" s="13"/>
      <c r="AB137" s="13"/>
      <c r="AC137" s="13"/>
      <c r="AD137" s="29"/>
      <c r="AE137" s="13"/>
      <c r="AF137" s="13"/>
      <c r="AG137" s="13"/>
      <c r="AH137" s="13"/>
      <c r="AI137" s="13"/>
      <c r="AJ137" s="16"/>
      <c r="AK137" s="16"/>
      <c r="AL137" s="16"/>
      <c r="AM137" s="16"/>
      <c r="AN137" s="16"/>
      <c r="AO137" s="13"/>
      <c r="AP137" s="31"/>
      <c r="AQ137" s="16"/>
      <c r="AR137" s="16"/>
      <c r="AS137" s="16"/>
      <c r="AT137" s="16"/>
      <c r="AU137" s="16"/>
      <c r="AV137" s="16"/>
      <c r="AW137" s="16">
        <v>1</v>
      </c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42"/>
      <c r="BM137" s="24">
        <f>IFERROR(COUNTA(L137:BK137)/COUNTA(L137:BK137),"")</f>
        <v>1</v>
      </c>
    </row>
    <row r="138" spans="2:65" s="4" customFormat="1" ht="24" hidden="1" customHeight="1" x14ac:dyDescent="0.25">
      <c r="B138" s="75"/>
      <c r="C138" s="79"/>
      <c r="D138" s="79"/>
      <c r="E138" s="81"/>
      <c r="F138" s="82"/>
      <c r="G138" s="73"/>
      <c r="H138" s="73"/>
      <c r="I138" s="77"/>
      <c r="J138" s="73"/>
      <c r="K138" s="73"/>
      <c r="L138" s="14"/>
      <c r="M138" s="15"/>
      <c r="N138" s="15"/>
      <c r="O138" s="15"/>
      <c r="P138" s="15"/>
      <c r="Q138" s="15"/>
      <c r="R138" s="30"/>
      <c r="S138" s="15"/>
      <c r="T138" s="15"/>
      <c r="U138" s="15"/>
      <c r="V138" s="15"/>
      <c r="W138" s="15"/>
      <c r="X138" s="30"/>
      <c r="Y138" s="15"/>
      <c r="Z138" s="15"/>
      <c r="AA138" s="15"/>
      <c r="AB138" s="15"/>
      <c r="AC138" s="15"/>
      <c r="AD138" s="30"/>
      <c r="AE138" s="15"/>
      <c r="AF138" s="15"/>
      <c r="AG138" s="15"/>
      <c r="AH138" s="15"/>
      <c r="AI138" s="15"/>
      <c r="AJ138" s="17"/>
      <c r="AK138" s="17"/>
      <c r="AL138" s="17"/>
      <c r="AM138" s="17"/>
      <c r="AN138" s="17"/>
      <c r="AO138" s="15"/>
      <c r="AP138" s="32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43"/>
      <c r="BM138" s="28">
        <f>IFERROR(COUNTIF(L138:BK138,2)/COUNTIF(L137:BK137,1),"")</f>
        <v>0</v>
      </c>
    </row>
    <row r="139" spans="2:65" s="4" customFormat="1" ht="24" hidden="1" customHeight="1" x14ac:dyDescent="0.25">
      <c r="B139" s="74">
        <v>56</v>
      </c>
      <c r="C139" s="78" t="s">
        <v>132</v>
      </c>
      <c r="D139" s="78" t="s">
        <v>133</v>
      </c>
      <c r="E139" s="80" t="s">
        <v>78</v>
      </c>
      <c r="F139" s="82" t="s">
        <v>240</v>
      </c>
      <c r="G139" s="83" t="s">
        <v>65</v>
      </c>
      <c r="H139" s="83" t="s">
        <v>79</v>
      </c>
      <c r="I139" s="76" t="str">
        <f>+IF(BM140=100%,"Terminado",IF(BM140=0%,"Por Ejecutar",IF(BM140="","","En Proceso")))</f>
        <v>Por Ejecutar</v>
      </c>
      <c r="J139" s="72">
        <f>IF(L139&gt;0,$L$27,IF(M139&gt;0,$M$27,IF(N139&gt;0,$N$27,IF(O139&gt;0,$O$27,IF(P139&gt;0,$P$27,IF(Q139&gt;0,$Q$27,IF(R139&gt;0,$R$27,IF(S139&gt;0,$S$27,IF(T139&gt;0,$T$27,IF(U139&gt;0,$U$27,IF(V139&gt;0,$V$27,IF(W139&gt;0,$W$27,IF(X139&gt;0,$X$27,IF(Y139&gt;0,$Y$27,IF(Z139&gt;0,$Z$27,IF(AA139&gt;0,$AA$27,IF(AB139&gt;0,$AB$27,IF(AC139&gt;0,$AC$27,IF(AD139&gt;0,$AD$27,IF(AE139&gt;0,$AE$27,IF(AF139&gt;0,$AF$27,IF(AG139&gt;0,$AG$27,IF(AH139&gt;0,$AH$27,IF(AI139&gt;0,$AI$27,IF(AJ139&gt;0,$AJ$27,IF(AK139&gt;0,$AK$27,IF(AL139&gt;0,$AL$27,IF(AM139&gt;0,$AM$27,IF(AN139&gt;0,$AN$27,IF(AO139&gt;0,$AO$27,IF(AP139&gt;0,$AP$27,IF(AQ139&gt;0,$AQ$27,IF(AR139&gt;0,$AR$27,IF(AS139&gt;0,$AS$27,IF(AT139&gt;0,$AT$27,IF(AU139&gt;0,$AU$27,IF(AV139&gt;0,$AV$27,IF(AW139&gt;0,$AW$27,IF(AX139&gt;0,$AX$27,IF(AY139&gt;0,$AY$27,IF(AZ139&gt;0,$AZ$27,IF(BA139&gt;0,$BA$27,IF(BB139&gt;0,$BB$27,IF(BC139&gt;0,$BC$27,IF(BD139&gt;0,$BD$27,IF(BE139&gt;0,$BE$27,IF(BF139&gt;0,$BF$27,IF(BG139&gt;0,$BG$27,IF(BH139&gt;0,$BH$27,IF(BI139&gt;0,$BI$27,IF(BJ139&gt;0,$BJ$27,IF(BK139&gt;0,$BK$27,))))))))))))))))))))))))))))))))))))))))))))))))))))</f>
        <v>45817</v>
      </c>
      <c r="K139" s="83" t="s">
        <v>92</v>
      </c>
      <c r="L139" s="12"/>
      <c r="M139" s="13"/>
      <c r="N139" s="13"/>
      <c r="O139" s="13"/>
      <c r="P139" s="13"/>
      <c r="Q139" s="13"/>
      <c r="R139" s="29"/>
      <c r="S139" s="13"/>
      <c r="T139" s="13"/>
      <c r="U139" s="13"/>
      <c r="V139" s="13"/>
      <c r="W139" s="13"/>
      <c r="X139" s="29"/>
      <c r="Y139" s="13"/>
      <c r="Z139" s="13"/>
      <c r="AA139" s="13"/>
      <c r="AB139" s="13"/>
      <c r="AC139" s="13"/>
      <c r="AD139" s="29"/>
      <c r="AE139" s="13"/>
      <c r="AF139" s="13"/>
      <c r="AG139" s="13"/>
      <c r="AH139" s="13"/>
      <c r="AI139" s="13">
        <v>1</v>
      </c>
      <c r="AJ139" s="16"/>
      <c r="AK139" s="16"/>
      <c r="AL139" s="16"/>
      <c r="AM139" s="16"/>
      <c r="AN139" s="16"/>
      <c r="AO139" s="13"/>
      <c r="AP139" s="31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42"/>
      <c r="BM139" s="24">
        <f>IFERROR(COUNTA(L139:BK139)/COUNTA(L139:BK139),"")</f>
        <v>1</v>
      </c>
    </row>
    <row r="140" spans="2:65" s="4" customFormat="1" ht="24" hidden="1" customHeight="1" x14ac:dyDescent="0.25">
      <c r="B140" s="75"/>
      <c r="C140" s="79"/>
      <c r="D140" s="79"/>
      <c r="E140" s="81"/>
      <c r="F140" s="82"/>
      <c r="G140" s="73"/>
      <c r="H140" s="73"/>
      <c r="I140" s="77"/>
      <c r="J140" s="73"/>
      <c r="K140" s="73"/>
      <c r="L140" s="14"/>
      <c r="M140" s="15"/>
      <c r="N140" s="15"/>
      <c r="O140" s="15"/>
      <c r="P140" s="15"/>
      <c r="Q140" s="15"/>
      <c r="R140" s="30"/>
      <c r="S140" s="15"/>
      <c r="T140" s="15"/>
      <c r="U140" s="15"/>
      <c r="V140" s="15"/>
      <c r="W140" s="15"/>
      <c r="X140" s="30"/>
      <c r="Y140" s="15"/>
      <c r="Z140" s="15"/>
      <c r="AA140" s="15"/>
      <c r="AB140" s="15"/>
      <c r="AC140" s="15"/>
      <c r="AD140" s="30"/>
      <c r="AE140" s="15"/>
      <c r="AF140" s="15"/>
      <c r="AG140" s="15"/>
      <c r="AH140" s="15"/>
      <c r="AI140" s="15"/>
      <c r="AJ140" s="17"/>
      <c r="AK140" s="17"/>
      <c r="AL140" s="17"/>
      <c r="AM140" s="17"/>
      <c r="AN140" s="17"/>
      <c r="AO140" s="15"/>
      <c r="AP140" s="32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43"/>
      <c r="BM140" s="28">
        <f>IFERROR(COUNTIF(L140:BK140,2)/COUNTIF(L139:BK139,1),"")</f>
        <v>0</v>
      </c>
    </row>
    <row r="141" spans="2:65" s="4" customFormat="1" ht="24" hidden="1" customHeight="1" x14ac:dyDescent="0.25">
      <c r="B141" s="74">
        <v>57</v>
      </c>
      <c r="C141" s="78" t="s">
        <v>132</v>
      </c>
      <c r="D141" s="78" t="s">
        <v>84</v>
      </c>
      <c r="E141" s="78" t="s">
        <v>76</v>
      </c>
      <c r="F141" s="78" t="s">
        <v>101</v>
      </c>
      <c r="G141" s="83" t="s">
        <v>65</v>
      </c>
      <c r="H141" s="83" t="s">
        <v>79</v>
      </c>
      <c r="I141" s="76" t="str">
        <f>+IF(BM142=100%,"Terminado",IF(BM142=0%,"Por Ejecutar",IF(BM142="","","En Proceso")))</f>
        <v>Por Ejecutar</v>
      </c>
      <c r="J141" s="72">
        <f>IF(L141&gt;0,$L$27,IF(M141&gt;0,$M$27,IF(N141&gt;0,$N$27,IF(O141&gt;0,$O$27,IF(P141&gt;0,$P$27,IF(Q141&gt;0,$Q$27,IF(R141&gt;0,$R$27,IF(S141&gt;0,$S$27,IF(T141&gt;0,$T$27,IF(U141&gt;0,$U$27,IF(V141&gt;0,$V$27,IF(W141&gt;0,$W$27,IF(X141&gt;0,$X$27,IF(Y141&gt;0,$Y$27,IF(Z141&gt;0,$Z$27,IF(AA141&gt;0,$AA$27,IF(AB141&gt;0,$AB$27,IF(AC141&gt;0,$AC$27,IF(AD141&gt;0,$AD$27,IF(AE141&gt;0,$AE$27,IF(AF141&gt;0,$AF$27,IF(AG141&gt;0,$AG$27,IF(AH141&gt;0,$AH$27,IF(AI141&gt;0,$AI$27,IF(AJ141&gt;0,$AJ$27,IF(AK141&gt;0,$AK$27,IF(AL141&gt;0,$AL$27,IF(AM141&gt;0,$AM$27,IF(AN141&gt;0,$AN$27,IF(AO141&gt;0,$AO$27,IF(AP141&gt;0,$AP$27,IF(AQ141&gt;0,$AQ$27,IF(AR141&gt;0,$AR$27,IF(AS141&gt;0,$AS$27,IF(AT141&gt;0,$AT$27,IF(AU141&gt;0,$AU$27,IF(AV141&gt;0,$AV$27,IF(AW141&gt;0,$AW$27,IF(AX141&gt;0,$AX$27,IF(AY141&gt;0,$AY$27,IF(AZ141&gt;0,$AZ$27,IF(BA141&gt;0,$BA$27,IF(BB141&gt;0,$BB$27,IF(BC141&gt;0,$BC$27,IF(BD141&gt;0,$BD$27,IF(BE141&gt;0,$BE$27,IF(BF141&gt;0,$BF$27,IF(BG141&gt;0,$BG$27,IF(BH141&gt;0,$BH$27,IF(BI141&gt;0,$BI$27,IF(BJ141&gt;0,$BJ$27,IF(BK141&gt;0,$BK$27,))))))))))))))))))))))))))))))))))))))))))))))))))))</f>
        <v>45698</v>
      </c>
      <c r="K141" s="83" t="s">
        <v>86</v>
      </c>
      <c r="L141" s="12"/>
      <c r="M141" s="13"/>
      <c r="N141" s="13"/>
      <c r="O141" s="13"/>
      <c r="P141" s="13"/>
      <c r="Q141" s="13"/>
      <c r="R141" s="29">
        <v>1</v>
      </c>
      <c r="S141" s="13"/>
      <c r="T141" s="13"/>
      <c r="U141" s="13"/>
      <c r="V141" s="13"/>
      <c r="W141" s="13"/>
      <c r="X141" s="29"/>
      <c r="Y141" s="13"/>
      <c r="Z141" s="13"/>
      <c r="AA141" s="13"/>
      <c r="AB141" s="13"/>
      <c r="AC141" s="13"/>
      <c r="AD141" s="29"/>
      <c r="AE141" s="13"/>
      <c r="AF141" s="13"/>
      <c r="AG141" s="13"/>
      <c r="AH141" s="13"/>
      <c r="AI141" s="13"/>
      <c r="AJ141" s="16"/>
      <c r="AK141" s="16"/>
      <c r="AL141" s="16"/>
      <c r="AM141" s="16"/>
      <c r="AN141" s="16"/>
      <c r="AO141" s="13"/>
      <c r="AP141" s="31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42"/>
      <c r="BM141" s="24">
        <f t="shared" ref="BM141:BM171" si="5">IFERROR(COUNTA(L141:BK141)/COUNTA(L141:BK141),"")</f>
        <v>1</v>
      </c>
    </row>
    <row r="142" spans="2:65" s="4" customFormat="1" ht="24" hidden="1" customHeight="1" x14ac:dyDescent="0.25">
      <c r="B142" s="75"/>
      <c r="C142" s="79"/>
      <c r="D142" s="79"/>
      <c r="E142" s="79"/>
      <c r="F142" s="79"/>
      <c r="G142" s="73"/>
      <c r="H142" s="73"/>
      <c r="I142" s="77"/>
      <c r="J142" s="73"/>
      <c r="K142" s="73"/>
      <c r="L142" s="14"/>
      <c r="M142" s="15"/>
      <c r="N142" s="15"/>
      <c r="O142" s="15"/>
      <c r="P142" s="15"/>
      <c r="Q142" s="15"/>
      <c r="R142" s="30"/>
      <c r="S142" s="15"/>
      <c r="T142" s="15"/>
      <c r="U142" s="15"/>
      <c r="V142" s="15"/>
      <c r="W142" s="15"/>
      <c r="X142" s="30"/>
      <c r="Y142" s="15"/>
      <c r="Z142" s="15"/>
      <c r="AA142" s="15"/>
      <c r="AB142" s="15"/>
      <c r="AC142" s="15"/>
      <c r="AD142" s="30"/>
      <c r="AE142" s="15"/>
      <c r="AF142" s="15"/>
      <c r="AG142" s="15"/>
      <c r="AH142" s="15"/>
      <c r="AI142" s="15"/>
      <c r="AJ142" s="17"/>
      <c r="AK142" s="17"/>
      <c r="AL142" s="17"/>
      <c r="AM142" s="17"/>
      <c r="AN142" s="17"/>
      <c r="AO142" s="15"/>
      <c r="AP142" s="32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43"/>
      <c r="BM142" s="28">
        <f>IFERROR(COUNTIF(L142:BK142,2)/COUNTIF(L141:BK141,1),"")</f>
        <v>0</v>
      </c>
    </row>
    <row r="143" spans="2:65" s="4" customFormat="1" ht="24" hidden="1" customHeight="1" x14ac:dyDescent="0.25">
      <c r="B143" s="74">
        <v>58</v>
      </c>
      <c r="C143" s="78" t="s">
        <v>132</v>
      </c>
      <c r="D143" s="78" t="s">
        <v>147</v>
      </c>
      <c r="E143" s="80" t="s">
        <v>76</v>
      </c>
      <c r="F143" s="80" t="s">
        <v>146</v>
      </c>
      <c r="G143" s="83" t="s">
        <v>65</v>
      </c>
      <c r="H143" s="83" t="s">
        <v>79</v>
      </c>
      <c r="I143" s="76" t="str">
        <f>+IF(BM144=100%,"Terminado",IF(BM144=0%,"Por Ejecutar",IF(BM144="","","En Proceso")))</f>
        <v>Por Ejecutar</v>
      </c>
      <c r="J143" s="72">
        <f>IF(L143&gt;0,$L$27,IF(M143&gt;0,$M$27,IF(N143&gt;0,$N$27,IF(O143&gt;0,$O$27,IF(P143&gt;0,$P$27,IF(Q143&gt;0,$Q$27,IF(R143&gt;0,$R$27,IF(S143&gt;0,$S$27,IF(T143&gt;0,$T$27,IF(U143&gt;0,$U$27,IF(V143&gt;0,$V$27,IF(W143&gt;0,$W$27,IF(X143&gt;0,$X$27,IF(Y143&gt;0,$Y$27,IF(Z143&gt;0,$Z$27,IF(AA143&gt;0,$AA$27,IF(AB143&gt;0,$AB$27,IF(AC143&gt;0,$AC$27,IF(AD143&gt;0,$AD$27,IF(AE143&gt;0,$AE$27,IF(AF143&gt;0,$AF$27,IF(AG143&gt;0,$AG$27,IF(AH143&gt;0,$AH$27,IF(AI143&gt;0,$AI$27,IF(AJ143&gt;0,$AJ$27,IF(AK143&gt;0,$AK$27,IF(AL143&gt;0,$AL$27,IF(AM143&gt;0,$AM$27,IF(AN143&gt;0,$AN$27,IF(AO143&gt;0,$AO$27,IF(AP143&gt;0,$AP$27,IF(AQ143&gt;0,$AQ$27,IF(AR143&gt;0,$AR$27,IF(AS143&gt;0,$AS$27,IF(AT143&gt;0,$AT$27,IF(AU143&gt;0,$AU$27,IF(AV143&gt;0,$AV$27,IF(AW143&gt;0,$AW$27,IF(AX143&gt;0,$AX$27,IF(AY143&gt;0,$AY$27,IF(AZ143&gt;0,$AZ$27,IF(BA143&gt;0,$BA$27,IF(BB143&gt;0,$BB$27,IF(BC143&gt;0,$BC$27,IF(BD143&gt;0,$BD$27,IF(BE143&gt;0,$BE$27,IF(BF143&gt;0,$BF$27,IF(BG143&gt;0,$BG$27,IF(BH143&gt;0,$BH$27,IF(BI143&gt;0,$BI$27,IF(BJ143&gt;0,$BJ$27,IF(BK143&gt;0,$BK$27,))))))))))))))))))))))))))))))))))))))))))))))))))))</f>
        <v>45684</v>
      </c>
      <c r="K143" s="83" t="s">
        <v>92</v>
      </c>
      <c r="L143" s="57"/>
      <c r="M143" s="58"/>
      <c r="N143" s="58"/>
      <c r="O143" s="58"/>
      <c r="P143" s="58">
        <v>1</v>
      </c>
      <c r="Q143" s="58"/>
      <c r="R143" s="59"/>
      <c r="S143" s="58"/>
      <c r="T143" s="58"/>
      <c r="U143" s="58"/>
      <c r="V143" s="58"/>
      <c r="W143" s="58"/>
      <c r="X143" s="59"/>
      <c r="Y143" s="58"/>
      <c r="Z143" s="58"/>
      <c r="AA143" s="58"/>
      <c r="AB143" s="58"/>
      <c r="AC143" s="58"/>
      <c r="AD143" s="59"/>
      <c r="AE143" s="58"/>
      <c r="AF143" s="58"/>
      <c r="AG143" s="58"/>
      <c r="AH143" s="58"/>
      <c r="AI143" s="58"/>
      <c r="AJ143" s="60"/>
      <c r="AK143" s="60"/>
      <c r="AL143" s="60"/>
      <c r="AM143" s="60"/>
      <c r="AN143" s="60"/>
      <c r="AO143" s="58"/>
      <c r="AP143" s="61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60"/>
      <c r="BJ143" s="60"/>
      <c r="BK143" s="62"/>
      <c r="BM143" s="24">
        <f t="shared" si="5"/>
        <v>1</v>
      </c>
    </row>
    <row r="144" spans="2:65" s="4" customFormat="1" ht="24" hidden="1" customHeight="1" x14ac:dyDescent="0.25">
      <c r="B144" s="75"/>
      <c r="C144" s="79"/>
      <c r="D144" s="79"/>
      <c r="E144" s="81"/>
      <c r="F144" s="81"/>
      <c r="G144" s="73"/>
      <c r="H144" s="73"/>
      <c r="I144" s="77"/>
      <c r="J144" s="73"/>
      <c r="K144" s="73"/>
      <c r="L144" s="57"/>
      <c r="M144" s="58"/>
      <c r="N144" s="58"/>
      <c r="O144" s="58"/>
      <c r="P144" s="58"/>
      <c r="Q144" s="58"/>
      <c r="R144" s="59"/>
      <c r="S144" s="58"/>
      <c r="T144" s="58"/>
      <c r="U144" s="58"/>
      <c r="V144" s="58"/>
      <c r="W144" s="58"/>
      <c r="X144" s="59"/>
      <c r="Y144" s="58"/>
      <c r="Z144" s="58"/>
      <c r="AA144" s="58"/>
      <c r="AB144" s="58"/>
      <c r="AC144" s="58"/>
      <c r="AD144" s="59"/>
      <c r="AE144" s="58"/>
      <c r="AF144" s="58"/>
      <c r="AG144" s="58"/>
      <c r="AH144" s="58"/>
      <c r="AI144" s="58"/>
      <c r="AJ144" s="60"/>
      <c r="AK144" s="60"/>
      <c r="AL144" s="60"/>
      <c r="AM144" s="60"/>
      <c r="AN144" s="60"/>
      <c r="AO144" s="58"/>
      <c r="AP144" s="61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60"/>
      <c r="BJ144" s="60"/>
      <c r="BK144" s="62"/>
      <c r="BM144" s="28">
        <f>IFERROR(COUNTIF(L144:BK144,2)/COUNTIF(L143:BK143,1),"")</f>
        <v>0</v>
      </c>
    </row>
    <row r="145" spans="2:65" s="4" customFormat="1" ht="24" hidden="1" customHeight="1" x14ac:dyDescent="0.25">
      <c r="B145" s="74">
        <v>59</v>
      </c>
      <c r="C145" s="78" t="s">
        <v>132</v>
      </c>
      <c r="D145" s="78" t="s">
        <v>131</v>
      </c>
      <c r="E145" s="78" t="s">
        <v>76</v>
      </c>
      <c r="F145" s="78" t="s">
        <v>207</v>
      </c>
      <c r="G145" s="83" t="s">
        <v>65</v>
      </c>
      <c r="H145" s="83" t="s">
        <v>79</v>
      </c>
      <c r="I145" s="76" t="str">
        <f>+IF(BM146=100%,"Terminado",IF(BM146=0%,"Por Ejecutar",IF(BM146="","","En Proceso")))</f>
        <v>Por Ejecutar</v>
      </c>
      <c r="J145" s="72">
        <f>IF(L145&gt;0,$L$27,IF(M145&gt;0,$M$27,IF(N145&gt;0,$N$27,IF(O145&gt;0,$O$27,IF(P145&gt;0,$P$27,IF(Q145&gt;0,$Q$27,IF(R145&gt;0,$R$27,IF(S145&gt;0,$S$27,IF(T145&gt;0,$T$27,IF(U145&gt;0,$U$27,IF(V145&gt;0,$V$27,IF(W145&gt;0,$W$27,IF(X145&gt;0,$X$27,IF(Y145&gt;0,$Y$27,IF(Z145&gt;0,$Z$27,IF(AA145&gt;0,$AA$27,IF(AB145&gt;0,$AB$27,IF(AC145&gt;0,$AC$27,IF(AD145&gt;0,$AD$27,IF(AE145&gt;0,$AE$27,IF(AF145&gt;0,$AF$27,IF(AG145&gt;0,$AG$27,IF(AH145&gt;0,$AH$27,IF(AI145&gt;0,$AI$27,IF(AJ145&gt;0,$AJ$27,IF(AK145&gt;0,$AK$27,IF(AL145&gt;0,$AL$27,IF(AM145&gt;0,$AM$27,IF(AN145&gt;0,$AN$27,IF(AO145&gt;0,$AO$27,IF(AP145&gt;0,$AP$27,IF(AQ145&gt;0,$AQ$27,IF(AR145&gt;0,$AR$27,IF(AS145&gt;0,$AS$27,IF(AT145&gt;0,$AT$27,IF(AU145&gt;0,$AU$27,IF(AV145&gt;0,$AV$27,IF(AW145&gt;0,$AW$27,IF(AX145&gt;0,$AX$27,IF(AY145&gt;0,$AY$27,IF(AZ145&gt;0,$AZ$27,IF(BA145&gt;0,$BA$27,IF(BB145&gt;0,$BB$27,IF(BC145&gt;0,$BC$27,IF(BD145&gt;0,$BD$27,IF(BE145&gt;0,$BE$27,IF(BF145&gt;0,$BF$27,IF(BG145&gt;0,$BG$27,IF(BH145&gt;0,$BH$27,IF(BI145&gt;0,$BI$27,IF(BJ145&gt;0,$BJ$27,IF(BK145&gt;0,$BK$27,))))))))))))))))))))))))))))))))))))))))))))))))))))</f>
        <v>45929</v>
      </c>
      <c r="K145" s="83" t="s">
        <v>88</v>
      </c>
      <c r="L145" s="12"/>
      <c r="M145" s="13"/>
      <c r="N145" s="13"/>
      <c r="O145" s="13"/>
      <c r="P145" s="13"/>
      <c r="Q145" s="13"/>
      <c r="R145" s="29"/>
      <c r="S145" s="13"/>
      <c r="T145" s="13"/>
      <c r="U145" s="13"/>
      <c r="V145" s="13"/>
      <c r="W145" s="13"/>
      <c r="X145" s="29"/>
      <c r="Y145" s="13"/>
      <c r="Z145" s="13"/>
      <c r="AA145" s="13"/>
      <c r="AB145" s="13"/>
      <c r="AC145" s="13"/>
      <c r="AD145" s="29"/>
      <c r="AE145" s="13"/>
      <c r="AF145" s="13"/>
      <c r="AG145" s="13"/>
      <c r="AH145" s="13"/>
      <c r="AI145" s="13"/>
      <c r="AJ145" s="16"/>
      <c r="AK145" s="16"/>
      <c r="AL145" s="16"/>
      <c r="AM145" s="16"/>
      <c r="AN145" s="16"/>
      <c r="AO145" s="13"/>
      <c r="AP145" s="31"/>
      <c r="AQ145" s="16"/>
      <c r="AR145" s="16"/>
      <c r="AS145" s="16"/>
      <c r="AT145" s="16"/>
      <c r="AU145" s="16"/>
      <c r="AV145" s="16"/>
      <c r="AW145" s="16"/>
      <c r="AX145" s="16"/>
      <c r="AY145" s="16">
        <v>1</v>
      </c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42"/>
      <c r="BM145" s="24">
        <f t="shared" si="5"/>
        <v>1</v>
      </c>
    </row>
    <row r="146" spans="2:65" s="4" customFormat="1" ht="24" hidden="1" customHeight="1" x14ac:dyDescent="0.25">
      <c r="B146" s="75"/>
      <c r="C146" s="79"/>
      <c r="D146" s="79"/>
      <c r="E146" s="79"/>
      <c r="F146" s="79"/>
      <c r="G146" s="73"/>
      <c r="H146" s="73"/>
      <c r="I146" s="77"/>
      <c r="J146" s="73"/>
      <c r="K146" s="73"/>
      <c r="L146" s="14"/>
      <c r="M146" s="15"/>
      <c r="N146" s="15"/>
      <c r="O146" s="15"/>
      <c r="P146" s="15"/>
      <c r="Q146" s="15"/>
      <c r="R146" s="30"/>
      <c r="S146" s="15"/>
      <c r="T146" s="15"/>
      <c r="U146" s="15"/>
      <c r="V146" s="15"/>
      <c r="W146" s="15"/>
      <c r="X146" s="30"/>
      <c r="Y146" s="15"/>
      <c r="Z146" s="15"/>
      <c r="AA146" s="15"/>
      <c r="AB146" s="15"/>
      <c r="AC146" s="15"/>
      <c r="AD146" s="30"/>
      <c r="AE146" s="15"/>
      <c r="AF146" s="15"/>
      <c r="AG146" s="15"/>
      <c r="AH146" s="15"/>
      <c r="AI146" s="15"/>
      <c r="AJ146" s="17"/>
      <c r="AK146" s="17"/>
      <c r="AL146" s="17"/>
      <c r="AM146" s="17"/>
      <c r="AN146" s="17"/>
      <c r="AO146" s="15"/>
      <c r="AP146" s="32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43"/>
      <c r="BM146" s="28">
        <f>IFERROR(COUNTIF(L146:BK146,2)/COUNTIF(L145:BK145,1),"")</f>
        <v>0</v>
      </c>
    </row>
    <row r="147" spans="2:65" s="4" customFormat="1" ht="24" hidden="1" customHeight="1" x14ac:dyDescent="0.25">
      <c r="B147" s="74">
        <v>60</v>
      </c>
      <c r="C147" s="78" t="s">
        <v>132</v>
      </c>
      <c r="D147" s="78" t="s">
        <v>131</v>
      </c>
      <c r="E147" s="78" t="s">
        <v>76</v>
      </c>
      <c r="F147" s="78" t="s">
        <v>208</v>
      </c>
      <c r="G147" s="83" t="s">
        <v>65</v>
      </c>
      <c r="H147" s="83" t="s">
        <v>79</v>
      </c>
      <c r="I147" s="76" t="str">
        <f>+IF(BM148=100%,"Terminado",IF(BM148=0%,"Por Ejecutar",IF(BM148="","","En Proceso")))</f>
        <v>Por Ejecutar</v>
      </c>
      <c r="J147" s="72">
        <f>IF(L147&gt;0,$L$27,IF(M147&gt;0,$M$27,IF(N147&gt;0,$N$27,IF(O147&gt;0,$O$27,IF(P147&gt;0,$P$27,IF(Q147&gt;0,$Q$27,IF(R147&gt;0,$R$27,IF(S147&gt;0,$S$27,IF(T147&gt;0,$T$27,IF(U147&gt;0,$U$27,IF(V147&gt;0,$V$27,IF(W147&gt;0,$W$27,IF(X147&gt;0,$X$27,IF(Y147&gt;0,$Y$27,IF(Z147&gt;0,$Z$27,IF(AA147&gt;0,$AA$27,IF(AB147&gt;0,$AB$27,IF(AC147&gt;0,$AC$27,IF(AD147&gt;0,$AD$27,IF(AE147&gt;0,$AE$27,IF(AF147&gt;0,$AF$27,IF(AG147&gt;0,$AG$27,IF(AH147&gt;0,$AH$27,IF(AI147&gt;0,$AI$27,IF(AJ147&gt;0,$AJ$27,IF(AK147&gt;0,$AK$27,IF(AL147&gt;0,$AL$27,IF(AM147&gt;0,$AM$27,IF(AN147&gt;0,$AN$27,IF(AO147&gt;0,$AO$27,IF(AP147&gt;0,$AP$27,IF(AQ147&gt;0,$AQ$27,IF(AR147&gt;0,$AR$27,IF(AS147&gt;0,$AS$27,IF(AT147&gt;0,$AT$27,IF(AU147&gt;0,$AU$27,IF(AV147&gt;0,$AV$27,IF(AW147&gt;0,$AW$27,IF(AX147&gt;0,$AX$27,IF(AY147&gt;0,$AY$27,IF(AZ147&gt;0,$AZ$27,IF(BA147&gt;0,$BA$27,IF(BB147&gt;0,$BB$27,IF(BC147&gt;0,$BC$27,IF(BD147&gt;0,$BD$27,IF(BE147&gt;0,$BE$27,IF(BF147&gt;0,$BF$27,IF(BG147&gt;0,$BG$27,IF(BH147&gt;0,$BH$27,IF(BI147&gt;0,$BI$27,IF(BJ147&gt;0,$BJ$27,IF(BK147&gt;0,$BK$27,))))))))))))))))))))))))))))))))))))))))))))))))))))</f>
        <v>45908</v>
      </c>
      <c r="K147" s="83" t="s">
        <v>88</v>
      </c>
      <c r="L147" s="12"/>
      <c r="M147" s="13"/>
      <c r="N147" s="13"/>
      <c r="O147" s="13"/>
      <c r="P147" s="13"/>
      <c r="Q147" s="13"/>
      <c r="R147" s="29"/>
      <c r="S147" s="13"/>
      <c r="T147" s="13"/>
      <c r="U147" s="13"/>
      <c r="V147" s="13"/>
      <c r="W147" s="13"/>
      <c r="X147" s="29"/>
      <c r="Y147" s="13"/>
      <c r="Z147" s="13"/>
      <c r="AA147" s="13"/>
      <c r="AB147" s="13"/>
      <c r="AC147" s="13"/>
      <c r="AD147" s="29"/>
      <c r="AE147" s="13"/>
      <c r="AF147" s="13"/>
      <c r="AG147" s="13"/>
      <c r="AH147" s="13"/>
      <c r="AI147" s="13"/>
      <c r="AJ147" s="16"/>
      <c r="AK147" s="16"/>
      <c r="AL147" s="16"/>
      <c r="AM147" s="16"/>
      <c r="AN147" s="16"/>
      <c r="AO147" s="13"/>
      <c r="AP147" s="31"/>
      <c r="AQ147" s="16"/>
      <c r="AR147" s="16"/>
      <c r="AS147" s="16"/>
      <c r="AT147" s="16"/>
      <c r="AU147" s="16"/>
      <c r="AV147" s="16">
        <v>1</v>
      </c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42"/>
      <c r="BM147" s="24">
        <f t="shared" si="5"/>
        <v>1</v>
      </c>
    </row>
    <row r="148" spans="2:65" s="4" customFormat="1" ht="24" hidden="1" customHeight="1" x14ac:dyDescent="0.25">
      <c r="B148" s="75"/>
      <c r="C148" s="79"/>
      <c r="D148" s="79"/>
      <c r="E148" s="79"/>
      <c r="F148" s="79"/>
      <c r="G148" s="73"/>
      <c r="H148" s="73"/>
      <c r="I148" s="77"/>
      <c r="J148" s="73"/>
      <c r="K148" s="73"/>
      <c r="L148" s="14"/>
      <c r="M148" s="15"/>
      <c r="N148" s="15"/>
      <c r="O148" s="15"/>
      <c r="P148" s="15"/>
      <c r="Q148" s="15"/>
      <c r="R148" s="30"/>
      <c r="S148" s="15"/>
      <c r="T148" s="15"/>
      <c r="U148" s="15"/>
      <c r="V148" s="15"/>
      <c r="W148" s="15"/>
      <c r="X148" s="30"/>
      <c r="Y148" s="15"/>
      <c r="Z148" s="15"/>
      <c r="AA148" s="15"/>
      <c r="AB148" s="15"/>
      <c r="AC148" s="15"/>
      <c r="AD148" s="30"/>
      <c r="AE148" s="15"/>
      <c r="AF148" s="15"/>
      <c r="AG148" s="15"/>
      <c r="AH148" s="15"/>
      <c r="AI148" s="15"/>
      <c r="AJ148" s="17"/>
      <c r="AK148" s="17"/>
      <c r="AL148" s="17"/>
      <c r="AM148" s="17"/>
      <c r="AN148" s="17"/>
      <c r="AO148" s="15"/>
      <c r="AP148" s="32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43"/>
      <c r="BM148" s="28">
        <f>IFERROR(COUNTIF(L148:BK148,2)/COUNTIF(L147:BK147,1),"")</f>
        <v>0</v>
      </c>
    </row>
    <row r="149" spans="2:65" s="4" customFormat="1" ht="24" hidden="1" customHeight="1" x14ac:dyDescent="0.25">
      <c r="B149" s="74">
        <v>61</v>
      </c>
      <c r="C149" s="78" t="s">
        <v>132</v>
      </c>
      <c r="D149" s="78" t="s">
        <v>131</v>
      </c>
      <c r="E149" s="78" t="s">
        <v>76</v>
      </c>
      <c r="F149" s="78" t="s">
        <v>201</v>
      </c>
      <c r="G149" s="83" t="s">
        <v>65</v>
      </c>
      <c r="H149" s="83" t="s">
        <v>89</v>
      </c>
      <c r="I149" s="76" t="str">
        <f>+IF(BM150=100%,"Terminado",IF(BM150=0%,"Por Ejecutar",IF(BM150="","","En Proceso")))</f>
        <v>Por Ejecutar</v>
      </c>
      <c r="J149" s="72">
        <f>IF(L149&gt;0,$L$27,IF(M149&gt;0,$M$27,IF(N149&gt;0,$N$27,IF(O149&gt;0,$O$27,IF(P149&gt;0,$P$27,IF(Q149&gt;0,$Q$27,IF(R149&gt;0,$R$27,IF(S149&gt;0,$S$27,IF(T149&gt;0,$T$27,IF(U149&gt;0,$U$27,IF(V149&gt;0,$V$27,IF(W149&gt;0,$W$27,IF(X149&gt;0,$X$27,IF(Y149&gt;0,$Y$27,IF(Z149&gt;0,$Z$27,IF(AA149&gt;0,$AA$27,IF(AB149&gt;0,$AB$27,IF(AC149&gt;0,$AC$27,IF(AD149&gt;0,$AD$27,IF(AE149&gt;0,$AE$27,IF(AF149&gt;0,$AF$27,IF(AG149&gt;0,$AG$27,IF(AH149&gt;0,$AH$27,IF(AI149&gt;0,$AI$27,IF(AJ149&gt;0,$AJ$27,IF(AK149&gt;0,$AK$27,IF(AL149&gt;0,$AL$27,IF(AM149&gt;0,$AM$27,IF(AN149&gt;0,$AN$27,IF(AO149&gt;0,$AO$27,IF(AP149&gt;0,$AP$27,IF(AQ149&gt;0,$AQ$27,IF(AR149&gt;0,$AR$27,IF(AS149&gt;0,$AS$27,IF(AT149&gt;0,$AT$27,IF(AU149&gt;0,$AU$27,IF(AV149&gt;0,$AV$27,IF(AW149&gt;0,$AW$27,IF(AX149&gt;0,$AX$27,IF(AY149&gt;0,$AY$27,IF(AZ149&gt;0,$AZ$27,IF(BA149&gt;0,$BA$27,IF(BB149&gt;0,$BB$27,IF(BC149&gt;0,$BC$27,IF(BD149&gt;0,$BD$27,IF(BE149&gt;0,$BE$27,IF(BF149&gt;0,$BF$27,IF(BG149&gt;0,$BG$27,IF(BH149&gt;0,$BH$27,IF(BI149&gt;0,$BI$27,IF(BJ149&gt;0,$BJ$27,IF(BK149&gt;0,$BK$27,))))))))))))))))))))))))))))))))))))))))))))))))))))</f>
        <v>45894</v>
      </c>
      <c r="K149" s="83" t="s">
        <v>88</v>
      </c>
      <c r="L149" s="12"/>
      <c r="M149" s="13"/>
      <c r="N149" s="13"/>
      <c r="O149" s="13"/>
      <c r="P149" s="13"/>
      <c r="Q149" s="13"/>
      <c r="R149" s="29"/>
      <c r="S149" s="13"/>
      <c r="T149" s="13"/>
      <c r="U149" s="13"/>
      <c r="V149" s="13"/>
      <c r="W149" s="13"/>
      <c r="X149" s="29"/>
      <c r="Y149" s="13"/>
      <c r="Z149" s="13"/>
      <c r="AA149" s="13"/>
      <c r="AB149" s="13"/>
      <c r="AC149" s="13"/>
      <c r="AD149" s="29"/>
      <c r="AE149" s="13"/>
      <c r="AF149" s="13"/>
      <c r="AG149" s="13"/>
      <c r="AH149" s="13"/>
      <c r="AI149" s="13"/>
      <c r="AJ149" s="16"/>
      <c r="AK149" s="16"/>
      <c r="AL149" s="16"/>
      <c r="AM149" s="16"/>
      <c r="AN149" s="16"/>
      <c r="AO149" s="13"/>
      <c r="AP149" s="31"/>
      <c r="AQ149" s="16"/>
      <c r="AR149" s="16"/>
      <c r="AS149" s="16"/>
      <c r="AT149" s="16">
        <v>1</v>
      </c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42"/>
      <c r="BM149" s="24">
        <f t="shared" si="5"/>
        <v>1</v>
      </c>
    </row>
    <row r="150" spans="2:65" s="4" customFormat="1" ht="24" hidden="1" customHeight="1" x14ac:dyDescent="0.25">
      <c r="B150" s="75"/>
      <c r="C150" s="79"/>
      <c r="D150" s="79"/>
      <c r="E150" s="79"/>
      <c r="F150" s="79"/>
      <c r="G150" s="73"/>
      <c r="H150" s="73"/>
      <c r="I150" s="77"/>
      <c r="J150" s="73"/>
      <c r="K150" s="73"/>
      <c r="L150" s="14"/>
      <c r="M150" s="15"/>
      <c r="N150" s="15"/>
      <c r="O150" s="15"/>
      <c r="P150" s="15"/>
      <c r="Q150" s="15"/>
      <c r="R150" s="30"/>
      <c r="S150" s="15"/>
      <c r="T150" s="15"/>
      <c r="U150" s="15"/>
      <c r="V150" s="15"/>
      <c r="W150" s="15"/>
      <c r="X150" s="30"/>
      <c r="Y150" s="15"/>
      <c r="Z150" s="15"/>
      <c r="AA150" s="15"/>
      <c r="AB150" s="15"/>
      <c r="AC150" s="15"/>
      <c r="AD150" s="30"/>
      <c r="AE150" s="15"/>
      <c r="AF150" s="15"/>
      <c r="AG150" s="15"/>
      <c r="AH150" s="15"/>
      <c r="AI150" s="15"/>
      <c r="AJ150" s="17"/>
      <c r="AK150" s="17"/>
      <c r="AL150" s="17"/>
      <c r="AM150" s="17"/>
      <c r="AN150" s="17"/>
      <c r="AO150" s="15"/>
      <c r="AP150" s="32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43"/>
      <c r="BM150" s="28">
        <f>IFERROR(COUNTIF(L150:BK150,2)/COUNTIF(L149:BK149,1),"")</f>
        <v>0</v>
      </c>
    </row>
    <row r="151" spans="2:65" s="4" customFormat="1" ht="24" hidden="1" customHeight="1" x14ac:dyDescent="0.25">
      <c r="B151" s="74">
        <v>62</v>
      </c>
      <c r="C151" s="78" t="s">
        <v>132</v>
      </c>
      <c r="D151" s="78" t="s">
        <v>131</v>
      </c>
      <c r="E151" s="78" t="s">
        <v>76</v>
      </c>
      <c r="F151" s="78" t="s">
        <v>202</v>
      </c>
      <c r="G151" s="83" t="s">
        <v>65</v>
      </c>
      <c r="H151" s="83" t="s">
        <v>89</v>
      </c>
      <c r="I151" s="76" t="str">
        <f>+IF(BM152=100%,"Terminado",IF(BM152=0%,"Por Ejecutar",IF(BM152="","","En Proceso")))</f>
        <v>Por Ejecutar</v>
      </c>
      <c r="J151" s="72">
        <f>IF(L151&gt;0,$L$27,IF(M151&gt;0,$M$27,IF(N151&gt;0,$N$27,IF(O151&gt;0,$O$27,IF(P151&gt;0,$P$27,IF(Q151&gt;0,$Q$27,IF(R151&gt;0,$R$27,IF(S151&gt;0,$S$27,IF(T151&gt;0,$T$27,IF(U151&gt;0,$U$27,IF(V151&gt;0,$V$27,IF(W151&gt;0,$W$27,IF(X151&gt;0,$X$27,IF(Y151&gt;0,$Y$27,IF(Z151&gt;0,$Z$27,IF(AA151&gt;0,$AA$27,IF(AB151&gt;0,$AB$27,IF(AC151&gt;0,$AC$27,IF(AD151&gt;0,$AD$27,IF(AE151&gt;0,$AE$27,IF(AF151&gt;0,$AF$27,IF(AG151&gt;0,$AG$27,IF(AH151&gt;0,$AH$27,IF(AI151&gt;0,$AI$27,IF(AJ151&gt;0,$AJ$27,IF(AK151&gt;0,$AK$27,IF(AL151&gt;0,$AL$27,IF(AM151&gt;0,$AM$27,IF(AN151&gt;0,$AN$27,IF(AO151&gt;0,$AO$27,IF(AP151&gt;0,$AP$27,IF(AQ151&gt;0,$AQ$27,IF(AR151&gt;0,$AR$27,IF(AS151&gt;0,$AS$27,IF(AT151&gt;0,$AT$27,IF(AU151&gt;0,$AU$27,IF(AV151&gt;0,$AV$27,IF(AW151&gt;0,$AW$27,IF(AX151&gt;0,$AX$27,IF(AY151&gt;0,$AY$27,IF(AZ151&gt;0,$AZ$27,IF(BA151&gt;0,$BA$27,IF(BB151&gt;0,$BB$27,IF(BC151&gt;0,$BC$27,IF(BD151&gt;0,$BD$27,IF(BE151&gt;0,$BE$27,IF(BF151&gt;0,$BF$27,IF(BG151&gt;0,$BG$27,IF(BH151&gt;0,$BH$27,IF(BI151&gt;0,$BI$27,IF(BJ151&gt;0,$BJ$27,IF(BK151&gt;0,$BK$27,))))))))))))))))))))))))))))))))))))))))))))))))))))</f>
        <v>45943</v>
      </c>
      <c r="K151" s="83" t="s">
        <v>88</v>
      </c>
      <c r="L151" s="12"/>
      <c r="M151" s="13"/>
      <c r="N151" s="13"/>
      <c r="O151" s="13"/>
      <c r="P151" s="13"/>
      <c r="Q151" s="13"/>
      <c r="R151" s="29"/>
      <c r="S151" s="13"/>
      <c r="T151" s="13"/>
      <c r="U151" s="13"/>
      <c r="V151" s="13"/>
      <c r="W151" s="13"/>
      <c r="X151" s="29"/>
      <c r="Y151" s="13"/>
      <c r="Z151" s="13"/>
      <c r="AA151" s="13"/>
      <c r="AB151" s="13"/>
      <c r="AC151" s="13"/>
      <c r="AD151" s="29"/>
      <c r="AE151" s="13"/>
      <c r="AF151" s="13"/>
      <c r="AG151" s="13"/>
      <c r="AH151" s="13"/>
      <c r="AI151" s="13"/>
      <c r="AJ151" s="16"/>
      <c r="AK151" s="16"/>
      <c r="AL151" s="16"/>
      <c r="AM151" s="16"/>
      <c r="AN151" s="16"/>
      <c r="AO151" s="13"/>
      <c r="AP151" s="31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>
        <v>1</v>
      </c>
      <c r="BB151" s="16"/>
      <c r="BC151" s="16"/>
      <c r="BD151" s="16"/>
      <c r="BE151" s="16"/>
      <c r="BF151" s="16"/>
      <c r="BG151" s="16"/>
      <c r="BH151" s="16"/>
      <c r="BI151" s="16"/>
      <c r="BJ151" s="16"/>
      <c r="BK151" s="42"/>
      <c r="BM151" s="24">
        <f t="shared" si="5"/>
        <v>1</v>
      </c>
    </row>
    <row r="152" spans="2:65" s="4" customFormat="1" ht="24" hidden="1" customHeight="1" x14ac:dyDescent="0.25">
      <c r="B152" s="75"/>
      <c r="C152" s="79"/>
      <c r="D152" s="79"/>
      <c r="E152" s="79"/>
      <c r="F152" s="79"/>
      <c r="G152" s="73"/>
      <c r="H152" s="73"/>
      <c r="I152" s="77"/>
      <c r="J152" s="73"/>
      <c r="K152" s="73"/>
      <c r="L152" s="14"/>
      <c r="M152" s="15"/>
      <c r="N152" s="15"/>
      <c r="O152" s="15"/>
      <c r="P152" s="15"/>
      <c r="Q152" s="15"/>
      <c r="R152" s="30"/>
      <c r="S152" s="15"/>
      <c r="T152" s="15"/>
      <c r="U152" s="15"/>
      <c r="V152" s="15"/>
      <c r="W152" s="15"/>
      <c r="X152" s="30"/>
      <c r="Y152" s="15"/>
      <c r="Z152" s="15"/>
      <c r="AA152" s="15"/>
      <c r="AB152" s="15"/>
      <c r="AC152" s="15"/>
      <c r="AD152" s="30"/>
      <c r="AE152" s="15"/>
      <c r="AF152" s="15"/>
      <c r="AG152" s="15"/>
      <c r="AH152" s="15"/>
      <c r="AI152" s="15"/>
      <c r="AJ152" s="17"/>
      <c r="AK152" s="17"/>
      <c r="AL152" s="17"/>
      <c r="AM152" s="17"/>
      <c r="AN152" s="17"/>
      <c r="AO152" s="15"/>
      <c r="AP152" s="32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43"/>
      <c r="BM152" s="28">
        <f>IFERROR(COUNTIF(L152:BK152,2)/COUNTIF(L151:BK151,1),"")</f>
        <v>0</v>
      </c>
    </row>
    <row r="153" spans="2:65" s="4" customFormat="1" ht="24" hidden="1" customHeight="1" x14ac:dyDescent="0.25">
      <c r="B153" s="74">
        <v>63</v>
      </c>
      <c r="C153" s="78" t="s">
        <v>132</v>
      </c>
      <c r="D153" s="78" t="s">
        <v>131</v>
      </c>
      <c r="E153" s="78" t="s">
        <v>76</v>
      </c>
      <c r="F153" s="78" t="s">
        <v>203</v>
      </c>
      <c r="G153" s="83" t="s">
        <v>65</v>
      </c>
      <c r="H153" s="83" t="s">
        <v>89</v>
      </c>
      <c r="I153" s="76" t="str">
        <f>+IF(BM154=100%,"Terminado",IF(BM154=0%,"Por Ejecutar",IF(BM154="","","En Proceso")))</f>
        <v>Por Ejecutar</v>
      </c>
      <c r="J153" s="72">
        <f>IF(L153&gt;0,$L$27,IF(M153&gt;0,$M$27,IF(N153&gt;0,$N$27,IF(O153&gt;0,$O$27,IF(P153&gt;0,$P$27,IF(Q153&gt;0,$Q$27,IF(R153&gt;0,$R$27,IF(S153&gt;0,$S$27,IF(T153&gt;0,$T$27,IF(U153&gt;0,$U$27,IF(V153&gt;0,$V$27,IF(W153&gt;0,$W$27,IF(X153&gt;0,$X$27,IF(Y153&gt;0,$Y$27,IF(Z153&gt;0,$Z$27,IF(AA153&gt;0,$AA$27,IF(AB153&gt;0,$AB$27,IF(AC153&gt;0,$AC$27,IF(AD153&gt;0,$AD$27,IF(AE153&gt;0,$AE$27,IF(AF153&gt;0,$AF$27,IF(AG153&gt;0,$AG$27,IF(AH153&gt;0,$AH$27,IF(AI153&gt;0,$AI$27,IF(AJ153&gt;0,$AJ$27,IF(AK153&gt;0,$AK$27,IF(AL153&gt;0,$AL$27,IF(AM153&gt;0,$AM$27,IF(AN153&gt;0,$AN$27,IF(AO153&gt;0,$AO$27,IF(AP153&gt;0,$AP$27,IF(AQ153&gt;0,$AQ$27,IF(AR153&gt;0,$AR$27,IF(AS153&gt;0,$AS$27,IF(AT153&gt;0,$AT$27,IF(AU153&gt;0,$AU$27,IF(AV153&gt;0,$AV$27,IF(AW153&gt;0,$AW$27,IF(AX153&gt;0,$AX$27,IF(AY153&gt;0,$AY$27,IF(AZ153&gt;0,$AZ$27,IF(BA153&gt;0,$BA$27,IF(BB153&gt;0,$BB$27,IF(BC153&gt;0,$BC$27,IF(BD153&gt;0,$BD$27,IF(BE153&gt;0,$BE$27,IF(BF153&gt;0,$BF$27,IF(BG153&gt;0,$BG$27,IF(BH153&gt;0,$BH$27,IF(BI153&gt;0,$BI$27,IF(BJ153&gt;0,$BJ$27,IF(BK153&gt;0,$BK$27,))))))))))))))))))))))))))))))))))))))))))))))))))))</f>
        <v>45880</v>
      </c>
      <c r="K153" s="83" t="s">
        <v>88</v>
      </c>
      <c r="L153" s="12"/>
      <c r="M153" s="13"/>
      <c r="N153" s="13"/>
      <c r="O153" s="13"/>
      <c r="P153" s="13"/>
      <c r="Q153" s="13"/>
      <c r="R153" s="29"/>
      <c r="S153" s="13"/>
      <c r="T153" s="13"/>
      <c r="U153" s="13"/>
      <c r="V153" s="13"/>
      <c r="W153" s="13"/>
      <c r="X153" s="29"/>
      <c r="Y153" s="13"/>
      <c r="Z153" s="13"/>
      <c r="AA153" s="13"/>
      <c r="AB153" s="13"/>
      <c r="AC153" s="13"/>
      <c r="AD153" s="29"/>
      <c r="AE153" s="13"/>
      <c r="AF153" s="13"/>
      <c r="AG153" s="13"/>
      <c r="AH153" s="13"/>
      <c r="AI153" s="13"/>
      <c r="AJ153" s="16"/>
      <c r="AK153" s="16"/>
      <c r="AL153" s="16"/>
      <c r="AM153" s="16"/>
      <c r="AN153" s="16"/>
      <c r="AO153" s="13"/>
      <c r="AP153" s="31"/>
      <c r="AQ153" s="16"/>
      <c r="AR153" s="16">
        <v>1</v>
      </c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42"/>
      <c r="BM153" s="24">
        <f t="shared" si="5"/>
        <v>1</v>
      </c>
    </row>
    <row r="154" spans="2:65" s="4" customFormat="1" ht="24" hidden="1" customHeight="1" x14ac:dyDescent="0.25">
      <c r="B154" s="75"/>
      <c r="C154" s="79"/>
      <c r="D154" s="79"/>
      <c r="E154" s="79"/>
      <c r="F154" s="79"/>
      <c r="G154" s="73"/>
      <c r="H154" s="73"/>
      <c r="I154" s="77"/>
      <c r="J154" s="73"/>
      <c r="K154" s="73"/>
      <c r="L154" s="14"/>
      <c r="M154" s="15"/>
      <c r="N154" s="15"/>
      <c r="O154" s="15"/>
      <c r="P154" s="15"/>
      <c r="Q154" s="15"/>
      <c r="R154" s="30"/>
      <c r="S154" s="15"/>
      <c r="T154" s="15"/>
      <c r="U154" s="15"/>
      <c r="V154" s="15"/>
      <c r="W154" s="15"/>
      <c r="X154" s="30"/>
      <c r="Y154" s="15"/>
      <c r="Z154" s="15"/>
      <c r="AA154" s="15"/>
      <c r="AB154" s="15"/>
      <c r="AC154" s="15"/>
      <c r="AD154" s="30"/>
      <c r="AE154" s="15"/>
      <c r="AF154" s="15"/>
      <c r="AG154" s="15"/>
      <c r="AH154" s="15"/>
      <c r="AI154" s="15"/>
      <c r="AJ154" s="17"/>
      <c r="AK154" s="17"/>
      <c r="AL154" s="17"/>
      <c r="AM154" s="17"/>
      <c r="AN154" s="17"/>
      <c r="AO154" s="15"/>
      <c r="AP154" s="32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43"/>
      <c r="BM154" s="28">
        <f>IFERROR(COUNTIF(L154:BK154,2)/COUNTIF(L153:BK153,1),"")</f>
        <v>0</v>
      </c>
    </row>
    <row r="155" spans="2:65" s="4" customFormat="1" ht="24" hidden="1" customHeight="1" x14ac:dyDescent="0.25">
      <c r="B155" s="74">
        <v>64</v>
      </c>
      <c r="C155" s="78" t="s">
        <v>132</v>
      </c>
      <c r="D155" s="78" t="s">
        <v>131</v>
      </c>
      <c r="E155" s="78" t="s">
        <v>76</v>
      </c>
      <c r="F155" s="78" t="s">
        <v>204</v>
      </c>
      <c r="G155" s="83" t="s">
        <v>65</v>
      </c>
      <c r="H155" s="83" t="s">
        <v>89</v>
      </c>
      <c r="I155" s="76" t="str">
        <f>+IF(BM156=100%,"Terminado",IF(BM156=0%,"Por Ejecutar",IF(BM156="","","En Proceso")))</f>
        <v>Por Ejecutar</v>
      </c>
      <c r="J155" s="72">
        <f>IF(L155&gt;0,$L$27,IF(M155&gt;0,$M$27,IF(N155&gt;0,$N$27,IF(O155&gt;0,$O$27,IF(P155&gt;0,$P$27,IF(Q155&gt;0,$Q$27,IF(R155&gt;0,$R$27,IF(S155&gt;0,$S$27,IF(T155&gt;0,$T$27,IF(U155&gt;0,$U$27,IF(V155&gt;0,$V$27,IF(W155&gt;0,$W$27,IF(X155&gt;0,$X$27,IF(Y155&gt;0,$Y$27,IF(Z155&gt;0,$Z$27,IF(AA155&gt;0,$AA$27,IF(AB155&gt;0,$AB$27,IF(AC155&gt;0,$AC$27,IF(AD155&gt;0,$AD$27,IF(AE155&gt;0,$AE$27,IF(AF155&gt;0,$AF$27,IF(AG155&gt;0,$AG$27,IF(AH155&gt;0,$AH$27,IF(AI155&gt;0,$AI$27,IF(AJ155&gt;0,$AJ$27,IF(AK155&gt;0,$AK$27,IF(AL155&gt;0,$AL$27,IF(AM155&gt;0,$AM$27,IF(AN155&gt;0,$AN$27,IF(AO155&gt;0,$AO$27,IF(AP155&gt;0,$AP$27,IF(AQ155&gt;0,$AQ$27,IF(AR155&gt;0,$AR$27,IF(AS155&gt;0,$AS$27,IF(AT155&gt;0,$AT$27,IF(AU155&gt;0,$AU$27,IF(AV155&gt;0,$AV$27,IF(AW155&gt;0,$AW$27,IF(AX155&gt;0,$AX$27,IF(AY155&gt;0,$AY$27,IF(AZ155&gt;0,$AZ$27,IF(BA155&gt;0,$BA$27,IF(BB155&gt;0,$BB$27,IF(BC155&gt;0,$BC$27,IF(BD155&gt;0,$BD$27,IF(BE155&gt;0,$BE$27,IF(BF155&gt;0,$BF$27,IF(BG155&gt;0,$BG$27,IF(BH155&gt;0,$BH$27,IF(BI155&gt;0,$BI$27,IF(BJ155&gt;0,$BJ$27,IF(BK155&gt;0,$BK$27,))))))))))))))))))))))))))))))))))))))))))))))))))))</f>
        <v>45957</v>
      </c>
      <c r="K155" s="83" t="s">
        <v>88</v>
      </c>
      <c r="L155" s="12"/>
      <c r="M155" s="13"/>
      <c r="N155" s="13"/>
      <c r="O155" s="13"/>
      <c r="P155" s="13"/>
      <c r="Q155" s="13"/>
      <c r="R155" s="29"/>
      <c r="S155" s="13"/>
      <c r="T155" s="13"/>
      <c r="U155" s="13"/>
      <c r="V155" s="13"/>
      <c r="W155" s="13"/>
      <c r="X155" s="29"/>
      <c r="Y155" s="13"/>
      <c r="Z155" s="13"/>
      <c r="AA155" s="13"/>
      <c r="AB155" s="13"/>
      <c r="AC155" s="13"/>
      <c r="AD155" s="29"/>
      <c r="AE155" s="13"/>
      <c r="AF155" s="13"/>
      <c r="AG155" s="13"/>
      <c r="AH155" s="13"/>
      <c r="AI155" s="13"/>
      <c r="AJ155" s="16"/>
      <c r="AK155" s="16"/>
      <c r="AL155" s="16"/>
      <c r="AM155" s="16"/>
      <c r="AN155" s="16"/>
      <c r="AO155" s="13"/>
      <c r="AP155" s="31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>
        <v>1</v>
      </c>
      <c r="BD155" s="16"/>
      <c r="BE155" s="16"/>
      <c r="BF155" s="16"/>
      <c r="BG155" s="16"/>
      <c r="BH155" s="16"/>
      <c r="BI155" s="16"/>
      <c r="BJ155" s="16"/>
      <c r="BK155" s="42"/>
      <c r="BM155" s="24">
        <f t="shared" si="5"/>
        <v>1</v>
      </c>
    </row>
    <row r="156" spans="2:65" s="4" customFormat="1" ht="24" hidden="1" customHeight="1" x14ac:dyDescent="0.25">
      <c r="B156" s="75"/>
      <c r="C156" s="79"/>
      <c r="D156" s="79"/>
      <c r="E156" s="79"/>
      <c r="F156" s="79"/>
      <c r="G156" s="73"/>
      <c r="H156" s="73"/>
      <c r="I156" s="77"/>
      <c r="J156" s="73"/>
      <c r="K156" s="73"/>
      <c r="L156" s="14"/>
      <c r="M156" s="15"/>
      <c r="N156" s="15"/>
      <c r="O156" s="15"/>
      <c r="P156" s="15"/>
      <c r="Q156" s="15"/>
      <c r="R156" s="30"/>
      <c r="S156" s="15"/>
      <c r="T156" s="15"/>
      <c r="U156" s="15"/>
      <c r="V156" s="15"/>
      <c r="W156" s="15"/>
      <c r="X156" s="30"/>
      <c r="Y156" s="15"/>
      <c r="Z156" s="15"/>
      <c r="AA156" s="15"/>
      <c r="AB156" s="15"/>
      <c r="AC156" s="15"/>
      <c r="AD156" s="30"/>
      <c r="AE156" s="15"/>
      <c r="AF156" s="15"/>
      <c r="AG156" s="15"/>
      <c r="AH156" s="15"/>
      <c r="AI156" s="15"/>
      <c r="AJ156" s="17"/>
      <c r="AK156" s="17"/>
      <c r="AL156" s="17"/>
      <c r="AM156" s="17"/>
      <c r="AN156" s="17"/>
      <c r="AO156" s="15"/>
      <c r="AP156" s="32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43"/>
      <c r="BM156" s="28">
        <f>IFERROR(COUNTIF(L156:BK156,2)/COUNTIF(L155:BK155,1),"")</f>
        <v>0</v>
      </c>
    </row>
    <row r="157" spans="2:65" s="4" customFormat="1" ht="24" hidden="1" customHeight="1" x14ac:dyDescent="0.25">
      <c r="B157" s="74">
        <v>65</v>
      </c>
      <c r="C157" s="78" t="s">
        <v>132</v>
      </c>
      <c r="D157" s="78" t="s">
        <v>131</v>
      </c>
      <c r="E157" s="78" t="s">
        <v>76</v>
      </c>
      <c r="F157" s="78" t="s">
        <v>206</v>
      </c>
      <c r="G157" s="83" t="s">
        <v>65</v>
      </c>
      <c r="H157" s="83" t="s">
        <v>79</v>
      </c>
      <c r="I157" s="76" t="str">
        <f>+IF(BM158=100%,"Terminado",IF(BM158=0%,"Por Ejecutar",IF(BM158="","","En Proceso")))</f>
        <v>Por Ejecutar</v>
      </c>
      <c r="J157" s="72">
        <f>IF(L157&gt;0,$L$27,IF(M157&gt;0,$M$27,IF(N157&gt;0,$N$27,IF(O157&gt;0,$O$27,IF(P157&gt;0,$P$27,IF(Q157&gt;0,$Q$27,IF(R157&gt;0,$R$27,IF(S157&gt;0,$S$27,IF(T157&gt;0,$T$27,IF(U157&gt;0,$U$27,IF(V157&gt;0,$V$27,IF(W157&gt;0,$W$27,IF(X157&gt;0,$X$27,IF(Y157&gt;0,$Y$27,IF(Z157&gt;0,$Z$27,IF(AA157&gt;0,$AA$27,IF(AB157&gt;0,$AB$27,IF(AC157&gt;0,$AC$27,IF(AD157&gt;0,$AD$27,IF(AE157&gt;0,$AE$27,IF(AF157&gt;0,$AF$27,IF(AG157&gt;0,$AG$27,IF(AH157&gt;0,$AH$27,IF(AI157&gt;0,$AI$27,IF(AJ157&gt;0,$AJ$27,IF(AK157&gt;0,$AK$27,IF(AL157&gt;0,$AL$27,IF(AM157&gt;0,$AM$27,IF(AN157&gt;0,$AN$27,IF(AO157&gt;0,$AO$27,IF(AP157&gt;0,$AP$27,IF(AQ157&gt;0,$AQ$27,IF(AR157&gt;0,$AR$27,IF(AS157&gt;0,$AS$27,IF(AT157&gt;0,$AT$27,IF(AU157&gt;0,$AU$27,IF(AV157&gt;0,$AV$27,IF(AW157&gt;0,$AW$27,IF(AX157&gt;0,$AX$27,IF(AY157&gt;0,$AY$27,IF(AZ157&gt;0,$AZ$27,IF(BA157&gt;0,$BA$27,IF(BB157&gt;0,$BB$27,IF(BC157&gt;0,$BC$27,IF(BD157&gt;0,$BD$27,IF(BE157&gt;0,$BE$27,IF(BF157&gt;0,$BF$27,IF(BG157&gt;0,$BG$27,IF(BH157&gt;0,$BH$27,IF(BI157&gt;0,$BI$27,IF(BJ157&gt;0,$BJ$27,IF(BK157&gt;0,$BK$27,))))))))))))))))))))))))))))))))))))))))))))))))))))</f>
        <v>45866</v>
      </c>
      <c r="K157" s="83" t="s">
        <v>88</v>
      </c>
      <c r="L157" s="12"/>
      <c r="M157" s="13"/>
      <c r="N157" s="13"/>
      <c r="O157" s="13"/>
      <c r="P157" s="13"/>
      <c r="Q157" s="13"/>
      <c r="R157" s="29"/>
      <c r="S157" s="13"/>
      <c r="T157" s="13"/>
      <c r="U157" s="13"/>
      <c r="V157" s="13"/>
      <c r="W157" s="13"/>
      <c r="X157" s="29"/>
      <c r="Y157" s="13"/>
      <c r="Z157" s="13"/>
      <c r="AA157" s="13"/>
      <c r="AB157" s="13"/>
      <c r="AC157" s="13"/>
      <c r="AD157" s="29"/>
      <c r="AE157" s="13"/>
      <c r="AF157" s="13"/>
      <c r="AG157" s="13"/>
      <c r="AH157" s="13"/>
      <c r="AI157" s="13"/>
      <c r="AJ157" s="16"/>
      <c r="AK157" s="16"/>
      <c r="AL157" s="16"/>
      <c r="AM157" s="16"/>
      <c r="AN157" s="16"/>
      <c r="AO157" s="13"/>
      <c r="AP157" s="31">
        <v>1</v>
      </c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42"/>
      <c r="BM157" s="24">
        <f t="shared" si="5"/>
        <v>1</v>
      </c>
    </row>
    <row r="158" spans="2:65" s="4" customFormat="1" ht="24" hidden="1" customHeight="1" x14ac:dyDescent="0.25">
      <c r="B158" s="75"/>
      <c r="C158" s="79"/>
      <c r="D158" s="79"/>
      <c r="E158" s="79"/>
      <c r="F158" s="79"/>
      <c r="G158" s="73"/>
      <c r="H158" s="73"/>
      <c r="I158" s="77"/>
      <c r="J158" s="73"/>
      <c r="K158" s="73"/>
      <c r="L158" s="14"/>
      <c r="M158" s="15"/>
      <c r="N158" s="15"/>
      <c r="O158" s="15"/>
      <c r="P158" s="15"/>
      <c r="Q158" s="15"/>
      <c r="R158" s="30"/>
      <c r="S158" s="15"/>
      <c r="T158" s="15"/>
      <c r="U158" s="15"/>
      <c r="V158" s="15"/>
      <c r="W158" s="15"/>
      <c r="X158" s="30"/>
      <c r="Y158" s="15"/>
      <c r="Z158" s="15"/>
      <c r="AA158" s="15"/>
      <c r="AB158" s="15"/>
      <c r="AC158" s="15"/>
      <c r="AD158" s="30"/>
      <c r="AE158" s="15"/>
      <c r="AF158" s="15"/>
      <c r="AG158" s="15"/>
      <c r="AH158" s="15"/>
      <c r="AI158" s="15"/>
      <c r="AJ158" s="17"/>
      <c r="AK158" s="17"/>
      <c r="AL158" s="17"/>
      <c r="AM158" s="17"/>
      <c r="AN158" s="17"/>
      <c r="AO158" s="15"/>
      <c r="AP158" s="32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43"/>
      <c r="BM158" s="28">
        <f>IFERROR(COUNTIF(L158:BK158,2)/COUNTIF(L157:BK157,1),"")</f>
        <v>0</v>
      </c>
    </row>
    <row r="159" spans="2:65" s="4" customFormat="1" ht="24" hidden="1" customHeight="1" x14ac:dyDescent="0.25">
      <c r="B159" s="74">
        <v>66</v>
      </c>
      <c r="C159" s="78" t="s">
        <v>132</v>
      </c>
      <c r="D159" s="78" t="s">
        <v>82</v>
      </c>
      <c r="E159" s="78" t="s">
        <v>76</v>
      </c>
      <c r="F159" s="78" t="s">
        <v>99</v>
      </c>
      <c r="G159" s="83" t="s">
        <v>65</v>
      </c>
      <c r="H159" s="83" t="s">
        <v>79</v>
      </c>
      <c r="I159" s="76" t="str">
        <f>+IF(BM160=100%,"Terminado",IF(BM160=0%,"Por Ejecutar",IF(BM160="","","En Proceso")))</f>
        <v>Por Ejecutar</v>
      </c>
      <c r="J159" s="72">
        <f>IF(L159&gt;0,$L$27,IF(M159&gt;0,$M$27,IF(N159&gt;0,$N$27,IF(O159&gt;0,$O$27,IF(P159&gt;0,$P$27,IF(Q159&gt;0,$Q$27,IF(R159&gt;0,$R$27,IF(S159&gt;0,$S$27,IF(T159&gt;0,$T$27,IF(U159&gt;0,$U$27,IF(V159&gt;0,$V$27,IF(W159&gt;0,$W$27,IF(X159&gt;0,$X$27,IF(Y159&gt;0,$Y$27,IF(Z159&gt;0,$Z$27,IF(AA159&gt;0,$AA$27,IF(AB159&gt;0,$AB$27,IF(AC159&gt;0,$AC$27,IF(AD159&gt;0,$AD$27,IF(AE159&gt;0,$AE$27,IF(AF159&gt;0,$AF$27,IF(AG159&gt;0,$AG$27,IF(AH159&gt;0,$AH$27,IF(AI159&gt;0,$AI$27,IF(AJ159&gt;0,$AJ$27,IF(AK159&gt;0,$AK$27,IF(AL159&gt;0,$AL$27,IF(AM159&gt;0,$AM$27,IF(AN159&gt;0,$AN$27,IF(AO159&gt;0,$AO$27,IF(AP159&gt;0,$AP$27,IF(AQ159&gt;0,$AQ$27,IF(AR159&gt;0,$AR$27,IF(AS159&gt;0,$AS$27,IF(AT159&gt;0,$AT$27,IF(AU159&gt;0,$AU$27,IF(AV159&gt;0,$AV$27,IF(AW159&gt;0,$AW$27,IF(AX159&gt;0,$AX$27,IF(AY159&gt;0,$AY$27,IF(AZ159&gt;0,$AZ$27,IF(BA159&gt;0,$BA$27,IF(BB159&gt;0,$BB$27,IF(BC159&gt;0,$BC$27,IF(BD159&gt;0,$BD$27,IF(BE159&gt;0,$BE$27,IF(BF159&gt;0,$BF$27,IF(BG159&gt;0,$BG$27,IF(BH159&gt;0,$BH$27,IF(BI159&gt;0,$BI$27,IF(BJ159&gt;0,$BJ$27,IF(BK159&gt;0,$BK$27,))))))))))))))))))))))))))))))))))))))))))))))))))))</f>
        <v>45852</v>
      </c>
      <c r="K159" s="83" t="s">
        <v>82</v>
      </c>
      <c r="L159" s="12"/>
      <c r="M159" s="13"/>
      <c r="N159" s="13"/>
      <c r="O159" s="13"/>
      <c r="P159" s="13"/>
      <c r="Q159" s="13"/>
      <c r="R159" s="29"/>
      <c r="S159" s="13"/>
      <c r="T159" s="13"/>
      <c r="U159" s="13"/>
      <c r="V159" s="13"/>
      <c r="W159" s="13"/>
      <c r="X159" s="29"/>
      <c r="Y159" s="13"/>
      <c r="Z159" s="13"/>
      <c r="AA159" s="13"/>
      <c r="AB159" s="13"/>
      <c r="AC159" s="13"/>
      <c r="AD159" s="29"/>
      <c r="AE159" s="13"/>
      <c r="AF159" s="13"/>
      <c r="AG159" s="13"/>
      <c r="AH159" s="13"/>
      <c r="AI159" s="13"/>
      <c r="AJ159" s="16"/>
      <c r="AK159" s="16"/>
      <c r="AL159" s="16"/>
      <c r="AM159" s="16"/>
      <c r="AN159" s="16">
        <v>1</v>
      </c>
      <c r="AO159" s="13"/>
      <c r="AP159" s="31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42"/>
      <c r="BM159" s="24">
        <f t="shared" si="5"/>
        <v>1</v>
      </c>
    </row>
    <row r="160" spans="2:65" s="4" customFormat="1" ht="24" hidden="1" customHeight="1" x14ac:dyDescent="0.25">
      <c r="B160" s="75"/>
      <c r="C160" s="79"/>
      <c r="D160" s="79"/>
      <c r="E160" s="79"/>
      <c r="F160" s="79"/>
      <c r="G160" s="73"/>
      <c r="H160" s="73"/>
      <c r="I160" s="77"/>
      <c r="J160" s="73"/>
      <c r="K160" s="73"/>
      <c r="L160" s="14"/>
      <c r="M160" s="15"/>
      <c r="N160" s="15"/>
      <c r="O160" s="15"/>
      <c r="P160" s="15"/>
      <c r="Q160" s="15"/>
      <c r="R160" s="30"/>
      <c r="S160" s="15"/>
      <c r="T160" s="15"/>
      <c r="U160" s="15"/>
      <c r="V160" s="15"/>
      <c r="W160" s="15"/>
      <c r="X160" s="30"/>
      <c r="Y160" s="15"/>
      <c r="Z160" s="15"/>
      <c r="AA160" s="15"/>
      <c r="AB160" s="15"/>
      <c r="AC160" s="15"/>
      <c r="AD160" s="30"/>
      <c r="AE160" s="15"/>
      <c r="AF160" s="15"/>
      <c r="AG160" s="15"/>
      <c r="AH160" s="15"/>
      <c r="AI160" s="15"/>
      <c r="AJ160" s="17"/>
      <c r="AK160" s="17"/>
      <c r="AL160" s="17"/>
      <c r="AM160" s="17"/>
      <c r="AN160" s="17"/>
      <c r="AO160" s="15"/>
      <c r="AP160" s="32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43"/>
      <c r="BM160" s="28">
        <f>IFERROR(COUNTIF(L160:BK160,2)/COUNTIF(L159:BK159,1),"")</f>
        <v>0</v>
      </c>
    </row>
    <row r="161" spans="2:65" s="4" customFormat="1" ht="24" hidden="1" customHeight="1" x14ac:dyDescent="0.25">
      <c r="B161" s="74">
        <v>67</v>
      </c>
      <c r="C161" s="78" t="s">
        <v>132</v>
      </c>
      <c r="D161" s="78" t="s">
        <v>214</v>
      </c>
      <c r="E161" s="78" t="s">
        <v>76</v>
      </c>
      <c r="F161" s="78" t="s">
        <v>209</v>
      </c>
      <c r="G161" s="83" t="s">
        <v>65</v>
      </c>
      <c r="H161" s="83" t="s">
        <v>89</v>
      </c>
      <c r="I161" s="76" t="str">
        <f>+IF(BM162=100%,"Terminado",IF(BM162=0%,"Por Ejecutar",IF(BM162="","","En Proceso")))</f>
        <v>Por Ejecutar</v>
      </c>
      <c r="J161" s="72">
        <f>IF(L161&gt;0,$L$27,IF(M161&gt;0,$M$27,IF(N161&gt;0,$N$27,IF(O161&gt;0,$O$27,IF(P161&gt;0,$P$27,IF(Q161&gt;0,$Q$27,IF(R161&gt;0,$R$27,IF(S161&gt;0,$S$27,IF(T161&gt;0,$T$27,IF(U161&gt;0,$U$27,IF(V161&gt;0,$V$27,IF(W161&gt;0,$W$27,IF(X161&gt;0,$X$27,IF(Y161&gt;0,$Y$27,IF(Z161&gt;0,$Z$27,IF(AA161&gt;0,$AA$27,IF(AB161&gt;0,$AB$27,IF(AC161&gt;0,$AC$27,IF(AD161&gt;0,$AD$27,IF(AE161&gt;0,$AE$27,IF(AF161&gt;0,$AF$27,IF(AG161&gt;0,$AG$27,IF(AH161&gt;0,$AH$27,IF(AI161&gt;0,$AI$27,IF(AJ161&gt;0,$AJ$27,IF(AK161&gt;0,$AK$27,IF(AL161&gt;0,$AL$27,IF(AM161&gt;0,$AM$27,IF(AN161&gt;0,$AN$27,IF(AO161&gt;0,$AO$27,IF(AP161&gt;0,$AP$27,IF(AQ161&gt;0,$AQ$27,IF(AR161&gt;0,$AR$27,IF(AS161&gt;0,$AS$27,IF(AT161&gt;0,$AT$27,IF(AU161&gt;0,$AU$27,IF(AV161&gt;0,$AV$27,IF(AW161&gt;0,$AW$27,IF(AX161&gt;0,$AX$27,IF(AY161&gt;0,$AY$27,IF(AZ161&gt;0,$AZ$27,IF(BA161&gt;0,$BA$27,IF(BB161&gt;0,$BB$27,IF(BC161&gt;0,$BC$27,IF(BD161&gt;0,$BD$27,IF(BE161&gt;0,$BE$27,IF(BF161&gt;0,$BF$27,IF(BG161&gt;0,$BG$27,IF(BH161&gt;0,$BH$27,IF(BI161&gt;0,$BI$27,IF(BJ161&gt;0,$BJ$27,IF(BK161&gt;0,$BK$27,))))))))))))))))))))))))))))))))))))))))))))))))))))</f>
        <v>45824</v>
      </c>
      <c r="K161" s="83" t="s">
        <v>82</v>
      </c>
      <c r="L161" s="12"/>
      <c r="M161" s="13"/>
      <c r="N161" s="13"/>
      <c r="O161" s="13"/>
      <c r="P161" s="13"/>
      <c r="Q161" s="13"/>
      <c r="R161" s="29"/>
      <c r="S161" s="13"/>
      <c r="T161" s="13"/>
      <c r="U161" s="13"/>
      <c r="V161" s="13"/>
      <c r="W161" s="13"/>
      <c r="X161" s="29"/>
      <c r="Y161" s="13"/>
      <c r="Z161" s="13"/>
      <c r="AA161" s="13"/>
      <c r="AB161" s="13"/>
      <c r="AC161" s="13"/>
      <c r="AD161" s="29"/>
      <c r="AE161" s="13"/>
      <c r="AF161" s="13"/>
      <c r="AG161" s="13"/>
      <c r="AH161" s="13"/>
      <c r="AI161" s="13"/>
      <c r="AJ161" s="16">
        <v>1</v>
      </c>
      <c r="AK161" s="16"/>
      <c r="AL161" s="16"/>
      <c r="AM161" s="16"/>
      <c r="AN161" s="16"/>
      <c r="AO161" s="13"/>
      <c r="AP161" s="31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42"/>
      <c r="BM161" s="24">
        <f t="shared" si="5"/>
        <v>1</v>
      </c>
    </row>
    <row r="162" spans="2:65" s="4" customFormat="1" ht="24" hidden="1" customHeight="1" x14ac:dyDescent="0.25">
      <c r="B162" s="75"/>
      <c r="C162" s="79"/>
      <c r="D162" s="79"/>
      <c r="E162" s="79"/>
      <c r="F162" s="79"/>
      <c r="G162" s="73"/>
      <c r="H162" s="73"/>
      <c r="I162" s="77"/>
      <c r="J162" s="73"/>
      <c r="K162" s="73"/>
      <c r="L162" s="14"/>
      <c r="M162" s="15"/>
      <c r="N162" s="15"/>
      <c r="O162" s="15"/>
      <c r="P162" s="15"/>
      <c r="Q162" s="15"/>
      <c r="R162" s="30"/>
      <c r="S162" s="15"/>
      <c r="T162" s="15"/>
      <c r="U162" s="15"/>
      <c r="V162" s="15"/>
      <c r="W162" s="15"/>
      <c r="X162" s="30"/>
      <c r="Y162" s="15"/>
      <c r="Z162" s="15"/>
      <c r="AA162" s="15"/>
      <c r="AB162" s="15"/>
      <c r="AC162" s="15"/>
      <c r="AD162" s="30"/>
      <c r="AE162" s="15"/>
      <c r="AF162" s="15"/>
      <c r="AG162" s="15"/>
      <c r="AH162" s="15"/>
      <c r="AI162" s="15"/>
      <c r="AJ162" s="17"/>
      <c r="AK162" s="17"/>
      <c r="AL162" s="17"/>
      <c r="AM162" s="17"/>
      <c r="AN162" s="17"/>
      <c r="AO162" s="15"/>
      <c r="AP162" s="32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43"/>
      <c r="BM162" s="28">
        <f>IFERROR(COUNTIF(L162:BK162,2)/COUNTIF(L161:BK161,1),"")</f>
        <v>0</v>
      </c>
    </row>
    <row r="163" spans="2:65" s="4" customFormat="1" ht="24" hidden="1" customHeight="1" x14ac:dyDescent="0.25">
      <c r="B163" s="74">
        <v>68</v>
      </c>
      <c r="C163" s="78" t="s">
        <v>132</v>
      </c>
      <c r="D163" s="78" t="s">
        <v>82</v>
      </c>
      <c r="E163" s="78" t="s">
        <v>76</v>
      </c>
      <c r="F163" s="78" t="s">
        <v>213</v>
      </c>
      <c r="G163" s="83" t="s">
        <v>65</v>
      </c>
      <c r="H163" s="83" t="s">
        <v>89</v>
      </c>
      <c r="I163" s="76" t="str">
        <f>+IF(BM164=100%,"Terminado",IF(BM164=0%,"Por Ejecutar",IF(BM164="","","En Proceso")))</f>
        <v>Por Ejecutar</v>
      </c>
      <c r="J163" s="72">
        <f>IF(L163&gt;0,$L$27,IF(M163&gt;0,$M$27,IF(N163&gt;0,$N$27,IF(O163&gt;0,$O$27,IF(P163&gt;0,$P$27,IF(Q163&gt;0,$Q$27,IF(R163&gt;0,$R$27,IF(S163&gt;0,$S$27,IF(T163&gt;0,$T$27,IF(U163&gt;0,$U$27,IF(V163&gt;0,$V$27,IF(W163&gt;0,$W$27,IF(X163&gt;0,$X$27,IF(Y163&gt;0,$Y$27,IF(Z163&gt;0,$Z$27,IF(AA163&gt;0,$AA$27,IF(AB163&gt;0,$AB$27,IF(AC163&gt;0,$AC$27,IF(AD163&gt;0,$AD$27,IF(AE163&gt;0,$AE$27,IF(AF163&gt;0,$AF$27,IF(AG163&gt;0,$AG$27,IF(AH163&gt;0,$AH$27,IF(AI163&gt;0,$AI$27,IF(AJ163&gt;0,$AJ$27,IF(AK163&gt;0,$AK$27,IF(AL163&gt;0,$AL$27,IF(AM163&gt;0,$AM$27,IF(AN163&gt;0,$AN$27,IF(AO163&gt;0,$AO$27,IF(AP163&gt;0,$AP$27,IF(AQ163&gt;0,$AQ$27,IF(AR163&gt;0,$AR$27,IF(AS163&gt;0,$AS$27,IF(AT163&gt;0,$AT$27,IF(AU163&gt;0,$AU$27,IF(AV163&gt;0,$AV$27,IF(AW163&gt;0,$AW$27,IF(AX163&gt;0,$AX$27,IF(AY163&gt;0,$AY$27,IF(AZ163&gt;0,$AZ$27,IF(BA163&gt;0,$BA$27,IF(BB163&gt;0,$BB$27,IF(BC163&gt;0,$BC$27,IF(BD163&gt;0,$BD$27,IF(BE163&gt;0,$BE$27,IF(BF163&gt;0,$BF$27,IF(BG163&gt;0,$BG$27,IF(BH163&gt;0,$BH$27,IF(BI163&gt;0,$BI$27,IF(BJ163&gt;0,$BJ$27,IF(BK163&gt;0,$BK$27,))))))))))))))))))))))))))))))))))))))))))))))))))))</f>
        <v>45845</v>
      </c>
      <c r="K163" s="83" t="s">
        <v>82</v>
      </c>
      <c r="L163" s="12"/>
      <c r="M163" s="13"/>
      <c r="N163" s="13"/>
      <c r="O163" s="13"/>
      <c r="P163" s="13"/>
      <c r="Q163" s="13"/>
      <c r="R163" s="29"/>
      <c r="S163" s="13"/>
      <c r="T163" s="13"/>
      <c r="U163" s="13"/>
      <c r="V163" s="13"/>
      <c r="W163" s="13"/>
      <c r="X163" s="29"/>
      <c r="Y163" s="13"/>
      <c r="Z163" s="13"/>
      <c r="AA163" s="13"/>
      <c r="AB163" s="13"/>
      <c r="AC163" s="13"/>
      <c r="AD163" s="29"/>
      <c r="AE163" s="13"/>
      <c r="AF163" s="13"/>
      <c r="AG163" s="13"/>
      <c r="AH163" s="13"/>
      <c r="AI163" s="13"/>
      <c r="AJ163" s="16"/>
      <c r="AK163" s="16"/>
      <c r="AL163" s="16"/>
      <c r="AM163" s="16">
        <v>1</v>
      </c>
      <c r="AN163" s="16"/>
      <c r="AO163" s="13"/>
      <c r="AP163" s="31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42"/>
      <c r="BM163" s="24">
        <f t="shared" si="5"/>
        <v>1</v>
      </c>
    </row>
    <row r="164" spans="2:65" s="4" customFormat="1" ht="24" hidden="1" customHeight="1" x14ac:dyDescent="0.25">
      <c r="B164" s="75"/>
      <c r="C164" s="79"/>
      <c r="D164" s="79"/>
      <c r="E164" s="79"/>
      <c r="F164" s="79"/>
      <c r="G164" s="73"/>
      <c r="H164" s="73"/>
      <c r="I164" s="77"/>
      <c r="J164" s="73"/>
      <c r="K164" s="73"/>
      <c r="L164" s="14"/>
      <c r="M164" s="15"/>
      <c r="N164" s="15"/>
      <c r="O164" s="15"/>
      <c r="P164" s="15"/>
      <c r="Q164" s="15"/>
      <c r="R164" s="30"/>
      <c r="S164" s="15"/>
      <c r="T164" s="15"/>
      <c r="U164" s="15"/>
      <c r="V164" s="15"/>
      <c r="W164" s="15"/>
      <c r="X164" s="30"/>
      <c r="Y164" s="15"/>
      <c r="Z164" s="15"/>
      <c r="AA164" s="15"/>
      <c r="AB164" s="15"/>
      <c r="AC164" s="15"/>
      <c r="AD164" s="30"/>
      <c r="AE164" s="15"/>
      <c r="AF164" s="15"/>
      <c r="AG164" s="15"/>
      <c r="AH164" s="15"/>
      <c r="AI164" s="15"/>
      <c r="AJ164" s="17"/>
      <c r="AK164" s="17"/>
      <c r="AL164" s="17"/>
      <c r="AM164" s="17"/>
      <c r="AN164" s="17"/>
      <c r="AO164" s="15"/>
      <c r="AP164" s="32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43"/>
      <c r="BM164" s="28">
        <f>IFERROR(COUNTIF(L164:BK164,2)/COUNTIF(L163:BK163,1),"")</f>
        <v>0</v>
      </c>
    </row>
    <row r="165" spans="2:65" s="4" customFormat="1" ht="24" hidden="1" customHeight="1" x14ac:dyDescent="0.25">
      <c r="B165" s="74">
        <v>69</v>
      </c>
      <c r="C165" s="78" t="s">
        <v>132</v>
      </c>
      <c r="D165" s="78" t="s">
        <v>215</v>
      </c>
      <c r="E165" s="78" t="s">
        <v>76</v>
      </c>
      <c r="F165" s="78" t="s">
        <v>212</v>
      </c>
      <c r="G165" s="83" t="s">
        <v>65</v>
      </c>
      <c r="H165" s="83" t="s">
        <v>79</v>
      </c>
      <c r="I165" s="76" t="str">
        <f>+IF(BM166=100%,"Terminado",IF(BM166=0%,"Por Ejecutar",IF(BM166="","","En Proceso")))</f>
        <v>Por Ejecutar</v>
      </c>
      <c r="J165" s="72">
        <f>IF(L165&gt;0,$L$27,IF(M165&gt;0,$M$27,IF(N165&gt;0,$N$27,IF(O165&gt;0,$O$27,IF(P165&gt;0,$P$27,IF(Q165&gt;0,$Q$27,IF(R165&gt;0,$R$27,IF(S165&gt;0,$S$27,IF(T165&gt;0,$T$27,IF(U165&gt;0,$U$27,IF(V165&gt;0,$V$27,IF(W165&gt;0,$W$27,IF(X165&gt;0,$X$27,IF(Y165&gt;0,$Y$27,IF(Z165&gt;0,$Z$27,IF(AA165&gt;0,$AA$27,IF(AB165&gt;0,$AB$27,IF(AC165&gt;0,$AC$27,IF(AD165&gt;0,$AD$27,IF(AE165&gt;0,$AE$27,IF(AF165&gt;0,$AF$27,IF(AG165&gt;0,$AG$27,IF(AH165&gt;0,$AH$27,IF(AI165&gt;0,$AI$27,IF(AJ165&gt;0,$AJ$27,IF(AK165&gt;0,$AK$27,IF(AL165&gt;0,$AL$27,IF(AM165&gt;0,$AM$27,IF(AN165&gt;0,$AN$27,IF(AO165&gt;0,$AO$27,IF(AP165&gt;0,$AP$27,IF(AQ165&gt;0,$AQ$27,IF(AR165&gt;0,$AR$27,IF(AS165&gt;0,$AS$27,IF(AT165&gt;0,$AT$27,IF(AU165&gt;0,$AU$27,IF(AV165&gt;0,$AV$27,IF(AW165&gt;0,$AW$27,IF(AX165&gt;0,$AX$27,IF(AY165&gt;0,$AY$27,IF(AZ165&gt;0,$AZ$27,IF(BA165&gt;0,$BA$27,IF(BB165&gt;0,$BB$27,IF(BC165&gt;0,$BC$27,IF(BD165&gt;0,$BD$27,IF(BE165&gt;0,$BE$27,IF(BF165&gt;0,$BF$27,IF(BG165&gt;0,$BG$27,IF(BH165&gt;0,$BH$27,IF(BI165&gt;0,$BI$27,IF(BJ165&gt;0,$BJ$27,IF(BK165&gt;0,$BK$27,))))))))))))))))))))))))))))))))))))))))))))))))))))</f>
        <v>45831</v>
      </c>
      <c r="K165" s="83" t="s">
        <v>82</v>
      </c>
      <c r="L165" s="12"/>
      <c r="M165" s="13"/>
      <c r="N165" s="13"/>
      <c r="O165" s="13"/>
      <c r="P165" s="13"/>
      <c r="Q165" s="13"/>
      <c r="R165" s="29"/>
      <c r="S165" s="13"/>
      <c r="T165" s="13"/>
      <c r="U165" s="13"/>
      <c r="V165" s="13"/>
      <c r="W165" s="13"/>
      <c r="X165" s="29"/>
      <c r="Y165" s="13"/>
      <c r="Z165" s="13"/>
      <c r="AA165" s="13"/>
      <c r="AB165" s="13"/>
      <c r="AC165" s="13"/>
      <c r="AD165" s="29"/>
      <c r="AE165" s="13"/>
      <c r="AF165" s="13"/>
      <c r="AG165" s="13"/>
      <c r="AH165" s="13"/>
      <c r="AI165" s="13"/>
      <c r="AJ165" s="16"/>
      <c r="AK165" s="16">
        <v>1</v>
      </c>
      <c r="AL165" s="16"/>
      <c r="AM165" s="16"/>
      <c r="AN165" s="16"/>
      <c r="AO165" s="13"/>
      <c r="AP165" s="31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42"/>
      <c r="BM165" s="24">
        <f t="shared" si="5"/>
        <v>1</v>
      </c>
    </row>
    <row r="166" spans="2:65" s="4" customFormat="1" ht="24" hidden="1" customHeight="1" x14ac:dyDescent="0.25">
      <c r="B166" s="75"/>
      <c r="C166" s="79"/>
      <c r="D166" s="79"/>
      <c r="E166" s="79"/>
      <c r="F166" s="79"/>
      <c r="G166" s="73"/>
      <c r="H166" s="73"/>
      <c r="I166" s="77"/>
      <c r="J166" s="73"/>
      <c r="K166" s="73"/>
      <c r="L166" s="14"/>
      <c r="M166" s="15"/>
      <c r="N166" s="15"/>
      <c r="O166" s="15"/>
      <c r="P166" s="15"/>
      <c r="Q166" s="15"/>
      <c r="R166" s="30"/>
      <c r="S166" s="15"/>
      <c r="T166" s="15"/>
      <c r="U166" s="15"/>
      <c r="V166" s="15"/>
      <c r="W166" s="15"/>
      <c r="X166" s="30"/>
      <c r="Y166" s="15"/>
      <c r="Z166" s="15"/>
      <c r="AA166" s="15"/>
      <c r="AB166" s="15"/>
      <c r="AC166" s="15"/>
      <c r="AD166" s="30"/>
      <c r="AE166" s="15"/>
      <c r="AF166" s="15"/>
      <c r="AG166" s="15"/>
      <c r="AH166" s="15"/>
      <c r="AI166" s="15"/>
      <c r="AJ166" s="17"/>
      <c r="AK166" s="17"/>
      <c r="AL166" s="17"/>
      <c r="AM166" s="17"/>
      <c r="AN166" s="17"/>
      <c r="AO166" s="15"/>
      <c r="AP166" s="32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43"/>
      <c r="BM166" s="28">
        <f>IFERROR(COUNTIF(L166:BK166,2)/COUNTIF(L165:BK165,1),"")</f>
        <v>0</v>
      </c>
    </row>
    <row r="167" spans="2:65" s="4" customFormat="1" ht="24" hidden="1" customHeight="1" x14ac:dyDescent="0.25">
      <c r="B167" s="74">
        <v>70</v>
      </c>
      <c r="C167" s="78" t="s">
        <v>132</v>
      </c>
      <c r="D167" s="78" t="s">
        <v>82</v>
      </c>
      <c r="E167" s="78" t="s">
        <v>76</v>
      </c>
      <c r="F167" s="78" t="s">
        <v>211</v>
      </c>
      <c r="G167" s="83" t="s">
        <v>65</v>
      </c>
      <c r="H167" s="83" t="s">
        <v>89</v>
      </c>
      <c r="I167" s="76" t="str">
        <f>+IF(BM168=100%,"Terminado",IF(BM168=0%,"Por Ejecutar",IF(BM168="","","En Proceso")))</f>
        <v>Por Ejecutar</v>
      </c>
      <c r="J167" s="72">
        <f>IF(L167&gt;0,$L$27,IF(M167&gt;0,$M$27,IF(N167&gt;0,$N$27,IF(O167&gt;0,$O$27,IF(P167&gt;0,$P$27,IF(Q167&gt;0,$Q$27,IF(R167&gt;0,$R$27,IF(S167&gt;0,$S$27,IF(T167&gt;0,$T$27,IF(U167&gt;0,$U$27,IF(V167&gt;0,$V$27,IF(W167&gt;0,$W$27,IF(X167&gt;0,$X$27,IF(Y167&gt;0,$Y$27,IF(Z167&gt;0,$Z$27,IF(AA167&gt;0,$AA$27,IF(AB167&gt;0,$AB$27,IF(AC167&gt;0,$AC$27,IF(AD167&gt;0,$AD$27,IF(AE167&gt;0,$AE$27,IF(AF167&gt;0,$AF$27,IF(AG167&gt;0,$AG$27,IF(AH167&gt;0,$AH$27,IF(AI167&gt;0,$AI$27,IF(AJ167&gt;0,$AJ$27,IF(AK167&gt;0,$AK$27,IF(AL167&gt;0,$AL$27,IF(AM167&gt;0,$AM$27,IF(AN167&gt;0,$AN$27,IF(AO167&gt;0,$AO$27,IF(AP167&gt;0,$AP$27,IF(AQ167&gt;0,$AQ$27,IF(AR167&gt;0,$AR$27,IF(AS167&gt;0,$AS$27,IF(AT167&gt;0,$AT$27,IF(AU167&gt;0,$AU$27,IF(AV167&gt;0,$AV$27,IF(AW167&gt;0,$AW$27,IF(AX167&gt;0,$AX$27,IF(AY167&gt;0,$AY$27,IF(AZ167&gt;0,$AZ$27,IF(BA167&gt;0,$BA$27,IF(BB167&gt;0,$BB$27,IF(BC167&gt;0,$BC$27,IF(BD167&gt;0,$BD$27,IF(BE167&gt;0,$BE$27,IF(BF167&gt;0,$BF$27,IF(BG167&gt;0,$BG$27,IF(BH167&gt;0,$BH$27,IF(BI167&gt;0,$BI$27,IF(BJ167&gt;0,$BJ$27,IF(BK167&gt;0,$BK$27,))))))))))))))))))))))))))))))))))))))))))))))))))))</f>
        <v>45894</v>
      </c>
      <c r="K167" s="83" t="s">
        <v>82</v>
      </c>
      <c r="L167" s="12"/>
      <c r="M167" s="13"/>
      <c r="N167" s="13"/>
      <c r="O167" s="13"/>
      <c r="P167" s="13"/>
      <c r="Q167" s="13"/>
      <c r="R167" s="29"/>
      <c r="S167" s="13"/>
      <c r="T167" s="13"/>
      <c r="U167" s="13"/>
      <c r="V167" s="13"/>
      <c r="W167" s="13"/>
      <c r="X167" s="29"/>
      <c r="Y167" s="13"/>
      <c r="Z167" s="13"/>
      <c r="AA167" s="13"/>
      <c r="AB167" s="13"/>
      <c r="AC167" s="13"/>
      <c r="AD167" s="29"/>
      <c r="AE167" s="13"/>
      <c r="AF167" s="13"/>
      <c r="AG167" s="13"/>
      <c r="AH167" s="13"/>
      <c r="AI167" s="13"/>
      <c r="AJ167" s="16"/>
      <c r="AK167" s="16"/>
      <c r="AL167" s="16"/>
      <c r="AM167" s="16"/>
      <c r="AN167" s="16"/>
      <c r="AO167" s="13"/>
      <c r="AP167" s="31"/>
      <c r="AQ167" s="16"/>
      <c r="AR167" s="16"/>
      <c r="AS167" s="16"/>
      <c r="AT167" s="16">
        <v>1</v>
      </c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42"/>
      <c r="BM167" s="24">
        <f t="shared" si="5"/>
        <v>1</v>
      </c>
    </row>
    <row r="168" spans="2:65" s="4" customFormat="1" ht="24" hidden="1" customHeight="1" x14ac:dyDescent="0.25">
      <c r="B168" s="75"/>
      <c r="C168" s="79"/>
      <c r="D168" s="79"/>
      <c r="E168" s="79"/>
      <c r="F168" s="79"/>
      <c r="G168" s="73"/>
      <c r="H168" s="73"/>
      <c r="I168" s="77"/>
      <c r="J168" s="73"/>
      <c r="K168" s="73"/>
      <c r="L168" s="14"/>
      <c r="M168" s="15"/>
      <c r="N168" s="15"/>
      <c r="O168" s="15"/>
      <c r="P168" s="15"/>
      <c r="Q168" s="15"/>
      <c r="R168" s="30"/>
      <c r="S168" s="15"/>
      <c r="T168" s="15"/>
      <c r="U168" s="15"/>
      <c r="V168" s="15"/>
      <c r="W168" s="15"/>
      <c r="X168" s="30"/>
      <c r="Y168" s="15"/>
      <c r="Z168" s="15"/>
      <c r="AA168" s="15"/>
      <c r="AB168" s="15"/>
      <c r="AC168" s="15"/>
      <c r="AD168" s="30"/>
      <c r="AE168" s="15"/>
      <c r="AF168" s="15"/>
      <c r="AG168" s="15"/>
      <c r="AH168" s="15"/>
      <c r="AI168" s="15"/>
      <c r="AJ168" s="17"/>
      <c r="AK168" s="17"/>
      <c r="AL168" s="17"/>
      <c r="AM168" s="17"/>
      <c r="AN168" s="17"/>
      <c r="AO168" s="15"/>
      <c r="AP168" s="32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43"/>
      <c r="BM168" s="28">
        <f>IFERROR(COUNTIF(L168:BK168,2)/COUNTIF(L167:BK167,1),"")</f>
        <v>0</v>
      </c>
    </row>
    <row r="169" spans="2:65" s="4" customFormat="1" ht="24" hidden="1" customHeight="1" x14ac:dyDescent="0.25">
      <c r="B169" s="74">
        <v>71</v>
      </c>
      <c r="C169" s="78" t="s">
        <v>132</v>
      </c>
      <c r="D169" s="78" t="s">
        <v>82</v>
      </c>
      <c r="E169" s="78" t="s">
        <v>76</v>
      </c>
      <c r="F169" s="78" t="s">
        <v>245</v>
      </c>
      <c r="G169" s="83" t="s">
        <v>65</v>
      </c>
      <c r="H169" s="83" t="s">
        <v>79</v>
      </c>
      <c r="I169" s="76" t="str">
        <f>+IF(BM170=100%,"Terminado",IF(BM170=0%,"Por Ejecutar",IF(BM170="","","En Proceso")))</f>
        <v>Por Ejecutar</v>
      </c>
      <c r="J169" s="72">
        <f>IF(L169&gt;0,$L$27,IF(M169&gt;0,$M$27,IF(N169&gt;0,$N$27,IF(O169&gt;0,$O$27,IF(P169&gt;0,$P$27,IF(Q169&gt;0,$Q$27,IF(R169&gt;0,$R$27,IF(S169&gt;0,$S$27,IF(T169&gt;0,$T$27,IF(U169&gt;0,$U$27,IF(V169&gt;0,$V$27,IF(W169&gt;0,$W$27,IF(X169&gt;0,$X$27,IF(Y169&gt;0,$Y$27,IF(Z169&gt;0,$Z$27,IF(AA169&gt;0,$AA$27,IF(AB169&gt;0,$AB$27,IF(AC169&gt;0,$AC$27,IF(AD169&gt;0,$AD$27,IF(AE169&gt;0,$AE$27,IF(AF169&gt;0,$AF$27,IF(AG169&gt;0,$AG$27,IF(AH169&gt;0,$AH$27,IF(AI169&gt;0,$AI$27,IF(AJ169&gt;0,$AJ$27,IF(AK169&gt;0,$AK$27,IF(AL169&gt;0,$AL$27,IF(AM169&gt;0,$AM$27,IF(AN169&gt;0,$AN$27,IF(AO169&gt;0,$AO$27,IF(AP169&gt;0,$AP$27,IF(AQ169&gt;0,$AQ$27,IF(AR169&gt;0,$AR$27,IF(AS169&gt;0,$AS$27,IF(AT169&gt;0,$AT$27,IF(AU169&gt;0,$AU$27,IF(AV169&gt;0,$AV$27,IF(AW169&gt;0,$AW$27,IF(AX169&gt;0,$AX$27,IF(AY169&gt;0,$AY$27,IF(AZ169&gt;0,$AZ$27,IF(BA169&gt;0,$BA$27,IF(BB169&gt;0,$BB$27,IF(BC169&gt;0,$BC$27,IF(BD169&gt;0,$BD$27,IF(BE169&gt;0,$BE$27,IF(BF169&gt;0,$BF$27,IF(BG169&gt;0,$BG$27,IF(BH169&gt;0,$BH$27,IF(BI169&gt;0,$BI$27,IF(BJ169&gt;0,$BJ$27,IF(BK169&gt;0,$BK$27,))))))))))))))))))))))))))))))))))))))))))))))))))))</f>
        <v>45929</v>
      </c>
      <c r="K169" s="83" t="s">
        <v>82</v>
      </c>
      <c r="L169" s="12"/>
      <c r="M169" s="13"/>
      <c r="N169" s="13"/>
      <c r="O169" s="13"/>
      <c r="P169" s="13"/>
      <c r="Q169" s="13"/>
      <c r="R169" s="29"/>
      <c r="S169" s="13"/>
      <c r="T169" s="13"/>
      <c r="U169" s="13"/>
      <c r="V169" s="13"/>
      <c r="W169" s="13"/>
      <c r="X169" s="29"/>
      <c r="Y169" s="13"/>
      <c r="Z169" s="13"/>
      <c r="AA169" s="13"/>
      <c r="AB169" s="13"/>
      <c r="AC169" s="13"/>
      <c r="AD169" s="29"/>
      <c r="AE169" s="13"/>
      <c r="AF169" s="13"/>
      <c r="AG169" s="13"/>
      <c r="AH169" s="13"/>
      <c r="AI169" s="16"/>
      <c r="AJ169" s="16"/>
      <c r="AK169" s="16"/>
      <c r="AL169" s="16"/>
      <c r="AM169" s="16"/>
      <c r="AN169" s="16"/>
      <c r="AO169" s="13"/>
      <c r="AP169" s="31"/>
      <c r="AQ169" s="16"/>
      <c r="AR169" s="16"/>
      <c r="AS169" s="16"/>
      <c r="AT169" s="16"/>
      <c r="AU169" s="16"/>
      <c r="AV169" s="16"/>
      <c r="AW169" s="16"/>
      <c r="AX169" s="16"/>
      <c r="AY169" s="16">
        <v>1</v>
      </c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42"/>
      <c r="BM169" s="24">
        <f>IFERROR(COUNTA(L169:BK169)/COUNTA(L169:BK169),"")</f>
        <v>1</v>
      </c>
    </row>
    <row r="170" spans="2:65" s="4" customFormat="1" ht="24" hidden="1" customHeight="1" x14ac:dyDescent="0.25">
      <c r="B170" s="75"/>
      <c r="C170" s="79"/>
      <c r="D170" s="79"/>
      <c r="E170" s="79"/>
      <c r="F170" s="79"/>
      <c r="G170" s="73"/>
      <c r="H170" s="73"/>
      <c r="I170" s="77"/>
      <c r="J170" s="73"/>
      <c r="K170" s="73"/>
      <c r="L170" s="14"/>
      <c r="M170" s="15"/>
      <c r="N170" s="15"/>
      <c r="O170" s="15"/>
      <c r="P170" s="15"/>
      <c r="Q170" s="15"/>
      <c r="R170" s="30"/>
      <c r="S170" s="15"/>
      <c r="T170" s="15"/>
      <c r="U170" s="15"/>
      <c r="V170" s="15"/>
      <c r="W170" s="15"/>
      <c r="X170" s="30"/>
      <c r="Y170" s="15"/>
      <c r="Z170" s="15"/>
      <c r="AA170" s="15"/>
      <c r="AB170" s="15"/>
      <c r="AC170" s="15"/>
      <c r="AD170" s="30"/>
      <c r="AE170" s="15"/>
      <c r="AF170" s="15"/>
      <c r="AG170" s="15"/>
      <c r="AH170" s="15"/>
      <c r="AI170" s="15"/>
      <c r="AJ170" s="17"/>
      <c r="AK170" s="17"/>
      <c r="AL170" s="17"/>
      <c r="AM170" s="17"/>
      <c r="AN170" s="17"/>
      <c r="AO170" s="15"/>
      <c r="AP170" s="32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43"/>
      <c r="BM170" s="28">
        <f>IFERROR(COUNTIF(L170:BK170,2)/COUNTIF(L169:BK169,1),"")</f>
        <v>0</v>
      </c>
    </row>
    <row r="171" spans="2:65" s="4" customFormat="1" ht="24" hidden="1" customHeight="1" x14ac:dyDescent="0.25">
      <c r="B171" s="74">
        <v>72</v>
      </c>
      <c r="C171" s="78" t="s">
        <v>132</v>
      </c>
      <c r="D171" s="78" t="s">
        <v>82</v>
      </c>
      <c r="E171" s="78" t="s">
        <v>76</v>
      </c>
      <c r="F171" s="78" t="s">
        <v>100</v>
      </c>
      <c r="G171" s="83" t="s">
        <v>65</v>
      </c>
      <c r="H171" s="83" t="s">
        <v>79</v>
      </c>
      <c r="I171" s="76" t="str">
        <f>+IF(BM172=100%,"Terminado",IF(BM172=0%,"Por Ejecutar",IF(BM172="","","En Proceso")))</f>
        <v>Por Ejecutar</v>
      </c>
      <c r="J171" s="72">
        <f>IF(L171&gt;0,$L$27,IF(M171&gt;0,$M$27,IF(N171&gt;0,$N$27,IF(O171&gt;0,$O$27,IF(P171&gt;0,$P$27,IF(Q171&gt;0,$Q$27,IF(R171&gt;0,$R$27,IF(S171&gt;0,$S$27,IF(T171&gt;0,$T$27,IF(U171&gt;0,$U$27,IF(V171&gt;0,$V$27,IF(W171&gt;0,$W$27,IF(X171&gt;0,$X$27,IF(Y171&gt;0,$Y$27,IF(Z171&gt;0,$Z$27,IF(AA171&gt;0,$AA$27,IF(AB171&gt;0,$AB$27,IF(AC171&gt;0,$AC$27,IF(AD171&gt;0,$AD$27,IF(AE171&gt;0,$AE$27,IF(AF171&gt;0,$AF$27,IF(AG171&gt;0,$AG$27,IF(AH171&gt;0,$AH$27,IF(AI171&gt;0,$AI$27,IF(AJ171&gt;0,$AJ$27,IF(AK171&gt;0,$AK$27,IF(AL171&gt;0,$AL$27,IF(AM171&gt;0,$AM$27,IF(AN171&gt;0,$AN$27,IF(AO171&gt;0,$AO$27,IF(AP171&gt;0,$AP$27,IF(AQ171&gt;0,$AQ$27,IF(AR171&gt;0,$AR$27,IF(AS171&gt;0,$AS$27,IF(AT171&gt;0,$AT$27,IF(AU171&gt;0,$AU$27,IF(AV171&gt;0,$AV$27,IF(AW171&gt;0,$AW$27,IF(AX171&gt;0,$AX$27,IF(AY171&gt;0,$AY$27,IF(AZ171&gt;0,$AZ$27,IF(BA171&gt;0,$BA$27,IF(BB171&gt;0,$BB$27,IF(BC171&gt;0,$BC$27,IF(BD171&gt;0,$BD$27,IF(BE171&gt;0,$BE$27,IF(BF171&gt;0,$BF$27,IF(BG171&gt;0,$BG$27,IF(BH171&gt;0,$BH$27,IF(BI171&gt;0,$BI$27,IF(BJ171&gt;0,$BJ$27,IF(BK171&gt;0,$BK$27,))))))))))))))))))))))))))))))))))))))))))))))))))))</f>
        <v>45831</v>
      </c>
      <c r="K171" s="83" t="s">
        <v>82</v>
      </c>
      <c r="L171" s="12"/>
      <c r="M171" s="13"/>
      <c r="N171" s="13"/>
      <c r="O171" s="13"/>
      <c r="P171" s="13"/>
      <c r="Q171" s="13"/>
      <c r="R171" s="29"/>
      <c r="S171" s="13"/>
      <c r="T171" s="13"/>
      <c r="U171" s="13"/>
      <c r="V171" s="13"/>
      <c r="W171" s="13"/>
      <c r="X171" s="29"/>
      <c r="Y171" s="13"/>
      <c r="Z171" s="13"/>
      <c r="AA171" s="13"/>
      <c r="AB171" s="13"/>
      <c r="AC171" s="13"/>
      <c r="AD171" s="29"/>
      <c r="AE171" s="13"/>
      <c r="AF171" s="13"/>
      <c r="AG171" s="13"/>
      <c r="AH171" s="13"/>
      <c r="AI171" s="16"/>
      <c r="AJ171" s="16"/>
      <c r="AK171" s="16">
        <v>1</v>
      </c>
      <c r="AL171" s="16"/>
      <c r="AM171" s="16"/>
      <c r="AN171" s="16"/>
      <c r="AO171" s="13"/>
      <c r="AP171" s="31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42"/>
      <c r="BM171" s="24">
        <f t="shared" si="5"/>
        <v>1</v>
      </c>
    </row>
    <row r="172" spans="2:65" s="4" customFormat="1" ht="24" hidden="1" customHeight="1" x14ac:dyDescent="0.25">
      <c r="B172" s="75"/>
      <c r="C172" s="79"/>
      <c r="D172" s="79"/>
      <c r="E172" s="79"/>
      <c r="F172" s="79"/>
      <c r="G172" s="73"/>
      <c r="H172" s="73"/>
      <c r="I172" s="77"/>
      <c r="J172" s="73"/>
      <c r="K172" s="73"/>
      <c r="L172" s="14"/>
      <c r="M172" s="15"/>
      <c r="N172" s="15"/>
      <c r="O172" s="15"/>
      <c r="P172" s="15"/>
      <c r="Q172" s="15"/>
      <c r="R172" s="30"/>
      <c r="S172" s="15"/>
      <c r="T172" s="15"/>
      <c r="U172" s="15"/>
      <c r="V172" s="15"/>
      <c r="W172" s="15"/>
      <c r="X172" s="30"/>
      <c r="Y172" s="15"/>
      <c r="Z172" s="15"/>
      <c r="AA172" s="15"/>
      <c r="AB172" s="15"/>
      <c r="AC172" s="15"/>
      <c r="AD172" s="30"/>
      <c r="AE172" s="15"/>
      <c r="AF172" s="15"/>
      <c r="AG172" s="15"/>
      <c r="AH172" s="15"/>
      <c r="AI172" s="15"/>
      <c r="AJ172" s="17"/>
      <c r="AK172" s="17"/>
      <c r="AL172" s="17"/>
      <c r="AM172" s="17"/>
      <c r="AN172" s="17"/>
      <c r="AO172" s="15"/>
      <c r="AP172" s="32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43"/>
      <c r="BM172" s="28">
        <f>IFERROR(COUNTIF(L172:BK172,2)/COUNTIF(L171:BK171,1),"")</f>
        <v>0</v>
      </c>
    </row>
    <row r="173" spans="2:65" s="4" customFormat="1" ht="24" hidden="1" customHeight="1" x14ac:dyDescent="0.25">
      <c r="B173" s="74">
        <v>73</v>
      </c>
      <c r="C173" s="78" t="s">
        <v>132</v>
      </c>
      <c r="D173" s="78" t="s">
        <v>219</v>
      </c>
      <c r="E173" s="78" t="s">
        <v>77</v>
      </c>
      <c r="F173" s="78" t="s">
        <v>95</v>
      </c>
      <c r="G173" s="83" t="s">
        <v>65</v>
      </c>
      <c r="H173" s="83" t="s">
        <v>89</v>
      </c>
      <c r="I173" s="76" t="str">
        <f>+IF(BM174=100%,"Terminado",IF(BM174=0%,"Por Ejecutar",IF(BM174="","","En Proceso")))</f>
        <v>Por Ejecutar</v>
      </c>
      <c r="J173" s="72">
        <f>IF(L173&gt;0,$L$27,IF(M173&gt;0,$M$27,IF(N173&gt;0,$N$27,IF(O173&gt;0,$O$27,IF(P173&gt;0,$P$27,IF(Q173&gt;0,$Q$27,IF(R173&gt;0,$R$27,IF(S173&gt;0,$S$27,IF(T173&gt;0,$T$27,IF(U173&gt;0,$U$27,IF(V173&gt;0,$V$27,IF(W173&gt;0,$W$27,IF(X173&gt;0,$X$27,IF(Y173&gt;0,$Y$27,IF(Z173&gt;0,$Z$27,IF(AA173&gt;0,$AA$27,IF(AB173&gt;0,$AB$27,IF(AC173&gt;0,$AC$27,IF(AD173&gt;0,$AD$27,IF(AE173&gt;0,$AE$27,IF(AF173&gt;0,$AF$27,IF(AG173&gt;0,$AG$27,IF(AH173&gt;0,$AH$27,IF(AI173&gt;0,$AI$27,IF(AJ173&gt;0,$AJ$27,IF(AK173&gt;0,$AK$27,IF(AL173&gt;0,$AL$27,IF(AM173&gt;0,$AM$27,IF(AN173&gt;0,$AN$27,IF(AO173&gt;0,$AO$27,IF(AP173&gt;0,$AP$27,IF(AQ173&gt;0,$AQ$27,IF(AR173&gt;0,$AR$27,IF(AS173&gt;0,$AS$27,IF(AT173&gt;0,$AT$27,IF(AU173&gt;0,$AU$27,IF(AV173&gt;0,$AV$27,IF(AW173&gt;0,$AW$27,IF(AX173&gt;0,$AX$27,IF(AY173&gt;0,$AY$27,IF(AZ173&gt;0,$AZ$27,IF(BA173&gt;0,$BA$27,IF(BB173&gt;0,$BB$27,IF(BC173&gt;0,$BC$27,IF(BD173&gt;0,$BD$27,IF(BE173&gt;0,$BE$27,IF(BF173&gt;0,$BF$27,IF(BG173&gt;0,$BG$27,IF(BH173&gt;0,$BH$27,IF(BI173&gt;0,$BI$27,IF(BJ173&gt;0,$BJ$27,IF(BK173&gt;0,$BK$27,))))))))))))))))))))))))))))))))))))))))))))))))))))</f>
        <v>45838</v>
      </c>
      <c r="K173" s="83" t="s">
        <v>91</v>
      </c>
      <c r="L173" s="12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>
        <v>1</v>
      </c>
      <c r="AM173" s="13">
        <v>1</v>
      </c>
      <c r="AN173" s="13">
        <v>1</v>
      </c>
      <c r="AO173" s="13">
        <v>1</v>
      </c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M173" s="24">
        <f>IFERROR(COUNTA(L173:BK173)/COUNTA(L173:BK173),"")</f>
        <v>1</v>
      </c>
    </row>
    <row r="174" spans="2:65" s="4" customFormat="1" ht="24" hidden="1" customHeight="1" x14ac:dyDescent="0.25">
      <c r="B174" s="75"/>
      <c r="C174" s="79"/>
      <c r="D174" s="79"/>
      <c r="E174" s="79"/>
      <c r="F174" s="79"/>
      <c r="G174" s="73"/>
      <c r="H174" s="73"/>
      <c r="I174" s="77"/>
      <c r="J174" s="73"/>
      <c r="K174" s="73"/>
      <c r="L174" s="14"/>
      <c r="M174" s="15"/>
      <c r="N174" s="15"/>
      <c r="O174" s="15"/>
      <c r="P174" s="15"/>
      <c r="Q174" s="15"/>
      <c r="R174" s="30"/>
      <c r="S174" s="15"/>
      <c r="T174" s="15"/>
      <c r="U174" s="15"/>
      <c r="V174" s="15"/>
      <c r="W174" s="15"/>
      <c r="X174" s="30"/>
      <c r="Y174" s="15"/>
      <c r="Z174" s="15"/>
      <c r="AA174" s="15"/>
      <c r="AB174" s="15"/>
      <c r="AC174" s="15"/>
      <c r="AD174" s="30"/>
      <c r="AE174" s="15"/>
      <c r="AF174" s="15"/>
      <c r="AG174" s="15"/>
      <c r="AH174" s="15"/>
      <c r="AI174" s="15"/>
      <c r="AJ174" s="17"/>
      <c r="AK174" s="17"/>
      <c r="AL174" s="17"/>
      <c r="AM174" s="17"/>
      <c r="AN174" s="17"/>
      <c r="AO174" s="15"/>
      <c r="AP174" s="32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43"/>
      <c r="BM174" s="28">
        <f>IFERROR(COUNTIF(L174:BK174,2)/COUNTIF(L173:BK173,1),"")</f>
        <v>0</v>
      </c>
    </row>
    <row r="175" spans="2:65" s="4" customFormat="1" ht="24" hidden="1" customHeight="1" x14ac:dyDescent="0.25">
      <c r="B175" s="74">
        <v>74</v>
      </c>
      <c r="C175" s="78" t="s">
        <v>132</v>
      </c>
      <c r="D175" s="78" t="s">
        <v>220</v>
      </c>
      <c r="E175" s="78" t="s">
        <v>77</v>
      </c>
      <c r="F175" s="120" t="s">
        <v>96</v>
      </c>
      <c r="G175" s="83" t="s">
        <v>65</v>
      </c>
      <c r="H175" s="83" t="s">
        <v>89</v>
      </c>
      <c r="I175" s="76" t="str">
        <f>+IF(BM176=100%,"Terminado",IF(BM176=0%,"Por Ejecutar",IF(BM176="","","En Proceso")))</f>
        <v>Por Ejecutar</v>
      </c>
      <c r="J175" s="72">
        <f>IF(L175&gt;0,$L$27,IF(M175&gt;0,$M$27,IF(N175&gt;0,$N$27,IF(O175&gt;0,$O$27,IF(P175&gt;0,$P$27,IF(Q175&gt;0,$Q$27,IF(R175&gt;0,$R$27,IF(S175&gt;0,$S$27,IF(T175&gt;0,$T$27,IF(U175&gt;0,$U$27,IF(V175&gt;0,$V$27,IF(W175&gt;0,$W$27,IF(X175&gt;0,$X$27,IF(Y175&gt;0,$Y$27,IF(Z175&gt;0,$Z$27,IF(AA175&gt;0,$AA$27,IF(AB175&gt;0,$AB$27,IF(AC175&gt;0,$AC$27,IF(AD175&gt;0,$AD$27,IF(AE175&gt;0,$AE$27,IF(AF175&gt;0,$AF$27,IF(AG175&gt;0,$AG$27,IF(AH175&gt;0,$AH$27,IF(AI175&gt;0,$AI$27,IF(AJ175&gt;0,$AJ$27,IF(AK175&gt;0,$AK$27,IF(AL175&gt;0,$AL$27,IF(AM175&gt;0,$AM$27,IF(AN175&gt;0,$AN$27,IF(AO175&gt;0,$AO$27,IF(AP175&gt;0,$AP$27,IF(AQ175&gt;0,$AQ$27,IF(AR175&gt;0,$AR$27,IF(AS175&gt;0,$AS$27,IF(AT175&gt;0,$AT$27,IF(AU175&gt;0,$AU$27,IF(AV175&gt;0,$AV$27,IF(AW175&gt;0,$AW$27,IF(AX175&gt;0,$AX$27,IF(AY175&gt;0,$AY$27,IF(AZ175&gt;0,$AZ$27,IF(BA175&gt;0,$BA$27,IF(BB175&gt;0,$BB$27,IF(BC175&gt;0,$BC$27,IF(BD175&gt;0,$BD$27,IF(BE175&gt;0,$BE$27,IF(BF175&gt;0,$BF$27,IF(BG175&gt;0,$BG$27,IF(BH175&gt;0,$BH$27,IF(BI175&gt;0,$BI$27,IF(BJ175&gt;0,$BJ$27,IF(BK175&gt;0,$BK$27,))))))))))))))))))))))))))))))))))))))))))))))))))))</f>
        <v>45782</v>
      </c>
      <c r="K175" s="83" t="s">
        <v>233</v>
      </c>
      <c r="L175" s="12"/>
      <c r="M175" s="13"/>
      <c r="N175" s="13"/>
      <c r="O175" s="13"/>
      <c r="P175" s="13"/>
      <c r="Q175" s="13"/>
      <c r="R175" s="29"/>
      <c r="S175" s="13"/>
      <c r="T175" s="13"/>
      <c r="U175" s="13"/>
      <c r="V175" s="13"/>
      <c r="W175" s="13"/>
      <c r="X175" s="29"/>
      <c r="Y175" s="13"/>
      <c r="Z175" s="13"/>
      <c r="AA175" s="13"/>
      <c r="AB175" s="13"/>
      <c r="AC175" s="13"/>
      <c r="AD175" s="29">
        <v>1</v>
      </c>
      <c r="AE175" s="13">
        <v>1</v>
      </c>
      <c r="AF175" s="13">
        <v>1</v>
      </c>
      <c r="AG175" s="13">
        <v>1</v>
      </c>
      <c r="AH175" s="13">
        <v>1</v>
      </c>
      <c r="AI175" s="13">
        <v>1</v>
      </c>
      <c r="AJ175" s="16"/>
      <c r="AK175" s="16"/>
      <c r="AL175" s="16"/>
      <c r="AM175" s="16"/>
      <c r="AN175" s="16"/>
      <c r="AO175" s="13"/>
      <c r="AP175" s="31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42"/>
      <c r="BM175" s="24">
        <f>IFERROR(COUNTA(L175:BK175)/COUNTA(L175:BK175),"")</f>
        <v>1</v>
      </c>
    </row>
    <row r="176" spans="2:65" s="4" customFormat="1" ht="24" hidden="1" customHeight="1" x14ac:dyDescent="0.25">
      <c r="B176" s="75"/>
      <c r="C176" s="79"/>
      <c r="D176" s="79"/>
      <c r="E176" s="79"/>
      <c r="F176" s="79"/>
      <c r="G176" s="73"/>
      <c r="H176" s="73"/>
      <c r="I176" s="77"/>
      <c r="J176" s="73"/>
      <c r="K176" s="73"/>
      <c r="L176" s="14"/>
      <c r="M176" s="15"/>
      <c r="N176" s="15"/>
      <c r="O176" s="15"/>
      <c r="P176" s="15"/>
      <c r="Q176" s="15"/>
      <c r="R176" s="30"/>
      <c r="S176" s="15"/>
      <c r="T176" s="15"/>
      <c r="U176" s="15"/>
      <c r="V176" s="15"/>
      <c r="W176" s="15"/>
      <c r="X176" s="30"/>
      <c r="Y176" s="15"/>
      <c r="Z176" s="15"/>
      <c r="AA176" s="15"/>
      <c r="AB176" s="15"/>
      <c r="AC176" s="15"/>
      <c r="AD176" s="30"/>
      <c r="AE176" s="15"/>
      <c r="AF176" s="15"/>
      <c r="AG176" s="15"/>
      <c r="AH176" s="15"/>
      <c r="AI176" s="15"/>
      <c r="AJ176" s="17"/>
      <c r="AK176" s="17"/>
      <c r="AL176" s="17"/>
      <c r="AM176" s="17"/>
      <c r="AN176" s="17"/>
      <c r="AO176" s="15"/>
      <c r="AP176" s="32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43"/>
      <c r="BM176" s="28">
        <f>IFERROR(COUNTIF(L176:BK176,2)/COUNTIF(L175:BK175,1),"")</f>
        <v>0</v>
      </c>
    </row>
    <row r="177" spans="2:65" s="4" customFormat="1" ht="24" hidden="1" customHeight="1" x14ac:dyDescent="0.25">
      <c r="B177" s="74">
        <v>75</v>
      </c>
      <c r="C177" s="78" t="s">
        <v>132</v>
      </c>
      <c r="D177" s="78" t="s">
        <v>221</v>
      </c>
      <c r="E177" s="78" t="s">
        <v>77</v>
      </c>
      <c r="F177" s="78" t="s">
        <v>97</v>
      </c>
      <c r="G177" s="83" t="s">
        <v>65</v>
      </c>
      <c r="H177" s="83" t="s">
        <v>89</v>
      </c>
      <c r="I177" s="76" t="str">
        <f>+IF(BM178=100%,"Terminado",IF(BM178=0%,"Por Ejecutar",IF(BM178="","","En Proceso")))</f>
        <v>Por Ejecutar</v>
      </c>
      <c r="J177" s="72">
        <f>IF(L177&gt;0,$L$27,IF(M177&gt;0,$M$27,IF(N177&gt;0,$N$27,IF(O177&gt;0,$O$27,IF(P177&gt;0,$P$27,IF(Q177&gt;0,$Q$27,IF(R177&gt;0,$R$27,IF(S177&gt;0,$S$27,IF(T177&gt;0,$T$27,IF(U177&gt;0,$U$27,IF(V177&gt;0,$V$27,IF(W177&gt;0,$W$27,IF(X177&gt;0,$X$27,IF(Y177&gt;0,$Y$27,IF(Z177&gt;0,$Z$27,IF(AA177&gt;0,$AA$27,IF(AB177&gt;0,$AB$27,IF(AC177&gt;0,$AC$27,IF(AD177&gt;0,$AD$27,IF(AE177&gt;0,$AE$27,IF(AF177&gt;0,$AF$27,IF(AG177&gt;0,$AG$27,IF(AH177&gt;0,$AH$27,IF(AI177&gt;0,$AI$27,IF(AJ177&gt;0,$AJ$27,IF(AK177&gt;0,$AK$27,IF(AL177&gt;0,$AL$27,IF(AM177&gt;0,$AM$27,IF(AN177&gt;0,$AN$27,IF(AO177&gt;0,$AO$27,IF(AP177&gt;0,$AP$27,IF(AQ177&gt;0,$AQ$27,IF(AR177&gt;0,$AR$27,IF(AS177&gt;0,$AS$27,IF(AT177&gt;0,$AT$27,IF(AU177&gt;0,$AU$27,IF(AV177&gt;0,$AV$27,IF(AW177&gt;0,$AW$27,IF(AX177&gt;0,$AX$27,IF(AY177&gt;0,$AY$27,IF(AZ177&gt;0,$AZ$27,IF(BA177&gt;0,$BA$27,IF(BB177&gt;0,$BB$27,IF(BC177&gt;0,$BC$27,IF(BD177&gt;0,$BD$27,IF(BE177&gt;0,$BE$27,IF(BF177&gt;0,$BF$27,IF(BG177&gt;0,$BG$27,IF(BH177&gt;0,$BH$27,IF(BI177&gt;0,$BI$27,IF(BJ177&gt;0,$BJ$27,IF(BK177&gt;0,$BK$27,))))))))))))))))))))))))))))))))))))))))))))))))))))</f>
        <v>45796</v>
      </c>
      <c r="K177" s="83" t="s">
        <v>91</v>
      </c>
      <c r="L177" s="12"/>
      <c r="M177" s="13"/>
      <c r="N177" s="13"/>
      <c r="O177" s="13"/>
      <c r="P177" s="13"/>
      <c r="Q177" s="13"/>
      <c r="R177" s="29"/>
      <c r="S177" s="13"/>
      <c r="T177" s="13"/>
      <c r="U177" s="13"/>
      <c r="V177" s="13"/>
      <c r="W177" s="13"/>
      <c r="X177" s="29"/>
      <c r="Y177" s="13"/>
      <c r="Z177" s="13"/>
      <c r="AA177" s="13"/>
      <c r="AB177" s="13"/>
      <c r="AC177" s="13"/>
      <c r="AD177" s="29"/>
      <c r="AE177" s="13"/>
      <c r="AF177" s="13">
        <v>1</v>
      </c>
      <c r="AG177" s="13">
        <v>1</v>
      </c>
      <c r="AH177" s="13">
        <v>1</v>
      </c>
      <c r="AI177" s="13">
        <v>1</v>
      </c>
      <c r="AJ177" s="16"/>
      <c r="AK177" s="16"/>
      <c r="AL177" s="16"/>
      <c r="AM177" s="16"/>
      <c r="AN177" s="16"/>
      <c r="AO177" s="13"/>
      <c r="AP177" s="31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42"/>
      <c r="BM177" s="24">
        <f>IFERROR(COUNTA(L177:BK177)/COUNTA(L177:BK177),"")</f>
        <v>1</v>
      </c>
    </row>
    <row r="178" spans="2:65" s="4" customFormat="1" ht="24" hidden="1" customHeight="1" x14ac:dyDescent="0.25">
      <c r="B178" s="75"/>
      <c r="C178" s="79"/>
      <c r="D178" s="79"/>
      <c r="E178" s="79"/>
      <c r="F178" s="79"/>
      <c r="G178" s="73"/>
      <c r="H178" s="73"/>
      <c r="I178" s="77"/>
      <c r="J178" s="73"/>
      <c r="K178" s="73"/>
      <c r="L178" s="14"/>
      <c r="M178" s="15"/>
      <c r="N178" s="15"/>
      <c r="O178" s="15"/>
      <c r="P178" s="15"/>
      <c r="Q178" s="15"/>
      <c r="R178" s="30"/>
      <c r="S178" s="15"/>
      <c r="T178" s="15"/>
      <c r="U178" s="15"/>
      <c r="V178" s="15"/>
      <c r="W178" s="15"/>
      <c r="X178" s="30"/>
      <c r="Y178" s="15"/>
      <c r="Z178" s="15"/>
      <c r="AA178" s="15"/>
      <c r="AB178" s="15"/>
      <c r="AC178" s="15"/>
      <c r="AD178" s="30"/>
      <c r="AE178" s="15"/>
      <c r="AF178" s="15"/>
      <c r="AG178" s="15"/>
      <c r="AH178" s="15"/>
      <c r="AI178" s="15"/>
      <c r="AJ178" s="17"/>
      <c r="AK178" s="17"/>
      <c r="AL178" s="17"/>
      <c r="AM178" s="17"/>
      <c r="AN178" s="17"/>
      <c r="AO178" s="15"/>
      <c r="AP178" s="32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43"/>
      <c r="BM178" s="28">
        <f>IFERROR(COUNTIF(L178:BK178,2)/COUNTIF(L177:BK177,1),"")</f>
        <v>0</v>
      </c>
    </row>
    <row r="179" spans="2:65" s="4" customFormat="1" ht="27" hidden="1" customHeight="1" x14ac:dyDescent="0.25">
      <c r="B179" s="36"/>
      <c r="C179" s="36"/>
      <c r="D179" s="36"/>
      <c r="E179" s="37"/>
      <c r="F179" s="37"/>
      <c r="G179" s="37"/>
      <c r="H179" s="37"/>
      <c r="I179" s="38" t="str">
        <f>IF(SUM(L179:BK179)=0,"",IF(COUNTIF(L179:BK179,"4")&gt;=1,"Atrasado",IF(COUNTIF(L179:BK179,"3")=COUNT(L179:BK179),"Terminado",IF(COUNTIF(L179:BK179,"1")=COUNT(L179:BK179),"Por Ejecutar","En Proceso"))))</f>
        <v/>
      </c>
      <c r="J179" s="39"/>
      <c r="K179" s="39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4"/>
      <c r="BM179" s="27"/>
    </row>
    <row r="180" spans="2:65" ht="27" hidden="1" customHeight="1" x14ac:dyDescent="0.2">
      <c r="B180" s="23"/>
      <c r="C180" s="23"/>
      <c r="D180" s="23"/>
      <c r="E180" s="4"/>
      <c r="F180" s="4"/>
      <c r="G180" s="4"/>
      <c r="H180" s="46" t="s">
        <v>74</v>
      </c>
      <c r="I180" s="1"/>
      <c r="J180" s="4"/>
      <c r="K180" s="4"/>
      <c r="BM180" s="1"/>
    </row>
    <row r="181" spans="2:65" ht="18" hidden="1" x14ac:dyDescent="0.2">
      <c r="B181" s="23"/>
      <c r="C181" s="23"/>
      <c r="D181" s="23"/>
      <c r="E181" s="4"/>
      <c r="F181" s="4"/>
      <c r="G181" s="4"/>
      <c r="H181" s="46" t="s">
        <v>74</v>
      </c>
      <c r="I181" s="1"/>
      <c r="J181" s="4"/>
      <c r="K181" s="4"/>
      <c r="BM181" s="1"/>
    </row>
    <row r="182" spans="2:65" ht="18" hidden="1" x14ac:dyDescent="0.2">
      <c r="B182" s="23"/>
      <c r="C182" s="23"/>
      <c r="D182" s="23"/>
      <c r="E182" s="4"/>
      <c r="F182" s="4"/>
      <c r="G182" s="4"/>
      <c r="H182" s="46" t="s">
        <v>74</v>
      </c>
      <c r="I182" s="1"/>
      <c r="J182" s="4"/>
      <c r="K182" s="4"/>
      <c r="BM182" s="1"/>
    </row>
    <row r="183" spans="2:65" ht="27" customHeight="1" x14ac:dyDescent="0.2">
      <c r="B183" s="23"/>
      <c r="C183" s="23"/>
      <c r="D183" s="23"/>
      <c r="E183" s="4"/>
      <c r="F183" s="4"/>
      <c r="G183" s="4"/>
      <c r="H183" s="56"/>
      <c r="I183" s="1"/>
      <c r="J183" s="4"/>
      <c r="K183" s="4"/>
      <c r="BM183" s="1"/>
    </row>
    <row r="184" spans="2:65" ht="27" customHeight="1" x14ac:dyDescent="0.2">
      <c r="B184" s="23"/>
      <c r="C184" s="23"/>
      <c r="D184" s="23"/>
      <c r="E184" s="4"/>
      <c r="F184" s="4"/>
      <c r="G184" s="4"/>
      <c r="H184" s="56"/>
      <c r="I184" s="1"/>
      <c r="J184" s="4"/>
      <c r="K184" s="4"/>
      <c r="AC184" s="111" t="s">
        <v>125</v>
      </c>
      <c r="AD184" s="112"/>
      <c r="AE184" s="112"/>
      <c r="AF184" s="112"/>
      <c r="AG184" s="112"/>
      <c r="AH184" s="112"/>
      <c r="AI184" s="112"/>
      <c r="AJ184" s="112"/>
      <c r="AK184" s="112"/>
      <c r="AL184" s="113"/>
      <c r="AM184" s="111" t="s">
        <v>126</v>
      </c>
      <c r="AN184" s="112"/>
      <c r="AO184" s="112"/>
      <c r="AP184" s="112"/>
      <c r="AQ184" s="112"/>
      <c r="AR184" s="112"/>
      <c r="AS184" s="112"/>
      <c r="AT184" s="112"/>
      <c r="AU184" s="112"/>
      <c r="AV184" s="113"/>
      <c r="AW184" s="111" t="s">
        <v>127</v>
      </c>
      <c r="AX184" s="112"/>
      <c r="AY184" s="112"/>
      <c r="AZ184" s="112"/>
      <c r="BA184" s="112"/>
      <c r="BB184" s="112"/>
      <c r="BC184" s="112"/>
      <c r="BD184" s="112"/>
      <c r="BE184" s="112"/>
      <c r="BF184" s="113"/>
      <c r="BM184" s="1"/>
    </row>
    <row r="185" spans="2:65" ht="27" customHeight="1" x14ac:dyDescent="0.2">
      <c r="B185" s="23"/>
      <c r="C185" s="23"/>
      <c r="D185" s="23"/>
      <c r="E185" s="4"/>
      <c r="F185" s="4"/>
      <c r="G185" s="4"/>
      <c r="H185" s="56"/>
      <c r="I185" s="1"/>
      <c r="J185" s="4"/>
      <c r="K185" s="4"/>
      <c r="AC185" s="114" t="s">
        <v>234</v>
      </c>
      <c r="AD185" s="115"/>
      <c r="AE185" s="115"/>
      <c r="AF185" s="115"/>
      <c r="AG185" s="115"/>
      <c r="AH185" s="115"/>
      <c r="AI185" s="115"/>
      <c r="AJ185" s="115"/>
      <c r="AK185" s="115"/>
      <c r="AL185" s="116"/>
      <c r="AM185" s="114" t="s">
        <v>235</v>
      </c>
      <c r="AN185" s="115"/>
      <c r="AO185" s="115"/>
      <c r="AP185" s="115"/>
      <c r="AQ185" s="115"/>
      <c r="AR185" s="115"/>
      <c r="AS185" s="115"/>
      <c r="AT185" s="115"/>
      <c r="AU185" s="115"/>
      <c r="AV185" s="116"/>
      <c r="AW185" s="114" t="s">
        <v>236</v>
      </c>
      <c r="AX185" s="115"/>
      <c r="AY185" s="115"/>
      <c r="AZ185" s="115"/>
      <c r="BA185" s="115"/>
      <c r="BB185" s="115"/>
      <c r="BC185" s="115"/>
      <c r="BD185" s="115"/>
      <c r="BE185" s="115"/>
      <c r="BF185" s="116"/>
      <c r="BM185" s="1"/>
    </row>
    <row r="186" spans="2:65" ht="27" customHeight="1" x14ac:dyDescent="0.2">
      <c r="B186" s="23"/>
      <c r="C186" s="23"/>
      <c r="D186" s="23"/>
      <c r="E186" s="4"/>
      <c r="F186" s="4"/>
      <c r="G186" s="4"/>
      <c r="H186" s="56"/>
      <c r="I186" s="1"/>
      <c r="J186" s="4"/>
      <c r="K186" s="4"/>
      <c r="AC186" s="117"/>
      <c r="AD186" s="118"/>
      <c r="AE186" s="118"/>
      <c r="AF186" s="118"/>
      <c r="AG186" s="118"/>
      <c r="AH186" s="118"/>
      <c r="AI186" s="118"/>
      <c r="AJ186" s="118"/>
      <c r="AK186" s="118"/>
      <c r="AL186" s="119"/>
      <c r="AM186" s="117"/>
      <c r="AN186" s="118"/>
      <c r="AO186" s="118"/>
      <c r="AP186" s="118"/>
      <c r="AQ186" s="118"/>
      <c r="AR186" s="118"/>
      <c r="AS186" s="118"/>
      <c r="AT186" s="118"/>
      <c r="AU186" s="118"/>
      <c r="AV186" s="119"/>
      <c r="AW186" s="117"/>
      <c r="AX186" s="118"/>
      <c r="AY186" s="118"/>
      <c r="AZ186" s="118"/>
      <c r="BA186" s="118"/>
      <c r="BB186" s="118"/>
      <c r="BC186" s="118"/>
      <c r="BD186" s="118"/>
      <c r="BE186" s="118"/>
      <c r="BF186" s="119"/>
      <c r="BM186" s="1"/>
    </row>
    <row r="187" spans="2:65" ht="27" customHeight="1" x14ac:dyDescent="0.2">
      <c r="B187" s="23"/>
      <c r="C187" s="23"/>
      <c r="D187" s="23"/>
      <c r="E187" s="4"/>
      <c r="F187" s="4"/>
      <c r="G187" s="4"/>
      <c r="H187" s="56"/>
      <c r="I187" s="1"/>
      <c r="J187" s="4"/>
      <c r="K187" s="4"/>
      <c r="BM187" s="1"/>
    </row>
  </sheetData>
  <autoFilter ref="A28:BM182" xr:uid="{00000000-0009-0000-0000-000000000000}">
    <filterColumn colId="10">
      <filters>
        <filter val="SSOMA"/>
      </filters>
    </filterColumn>
  </autoFilter>
  <mergeCells count="836">
    <mergeCell ref="I67:I68"/>
    <mergeCell ref="J67:J68"/>
    <mergeCell ref="I39:I40"/>
    <mergeCell ref="J39:J40"/>
    <mergeCell ref="K63:K64"/>
    <mergeCell ref="K65:K66"/>
    <mergeCell ref="I61:I62"/>
    <mergeCell ref="I63:I64"/>
    <mergeCell ref="I65:I66"/>
    <mergeCell ref="J57:J58"/>
    <mergeCell ref="J65:J66"/>
    <mergeCell ref="K67:K68"/>
    <mergeCell ref="K57:K58"/>
    <mergeCell ref="K59:K60"/>
    <mergeCell ref="K33:K34"/>
    <mergeCell ref="K35:K36"/>
    <mergeCell ref="K39:K40"/>
    <mergeCell ref="K55:K56"/>
    <mergeCell ref="G57:G58"/>
    <mergeCell ref="K41:K42"/>
    <mergeCell ref="K43:K44"/>
    <mergeCell ref="G63:G64"/>
    <mergeCell ref="I55:I56"/>
    <mergeCell ref="J55:J56"/>
    <mergeCell ref="G39:G40"/>
    <mergeCell ref="H39:H40"/>
    <mergeCell ref="G61:G62"/>
    <mergeCell ref="G59:G60"/>
    <mergeCell ref="K61:K62"/>
    <mergeCell ref="J49:J50"/>
    <mergeCell ref="K45:K46"/>
    <mergeCell ref="K47:K48"/>
    <mergeCell ref="J59:J60"/>
    <mergeCell ref="J53:J54"/>
    <mergeCell ref="J61:J62"/>
    <mergeCell ref="J63:J64"/>
    <mergeCell ref="K51:K52"/>
    <mergeCell ref="K53:K54"/>
    <mergeCell ref="K125:K126"/>
    <mergeCell ref="I105:I106"/>
    <mergeCell ref="I169:I170"/>
    <mergeCell ref="J169:J170"/>
    <mergeCell ref="K169:K170"/>
    <mergeCell ref="K137:K138"/>
    <mergeCell ref="K139:K140"/>
    <mergeCell ref="K143:K144"/>
    <mergeCell ref="J133:J134"/>
    <mergeCell ref="J163:J164"/>
    <mergeCell ref="K163:K164"/>
    <mergeCell ref="J167:J168"/>
    <mergeCell ref="K167:K168"/>
    <mergeCell ref="I151:I152"/>
    <mergeCell ref="J151:J152"/>
    <mergeCell ref="K151:K152"/>
    <mergeCell ref="J159:J160"/>
    <mergeCell ref="K159:K160"/>
    <mergeCell ref="K135:K136"/>
    <mergeCell ref="I113:I114"/>
    <mergeCell ref="J113:J114"/>
    <mergeCell ref="K113:K114"/>
    <mergeCell ref="J111:J112"/>
    <mergeCell ref="K111:K112"/>
    <mergeCell ref="K109:K110"/>
    <mergeCell ref="K105:K106"/>
    <mergeCell ref="J95:J96"/>
    <mergeCell ref="J97:J98"/>
    <mergeCell ref="J99:J100"/>
    <mergeCell ref="J101:J102"/>
    <mergeCell ref="J107:J108"/>
    <mergeCell ref="J109:J110"/>
    <mergeCell ref="K103:K104"/>
    <mergeCell ref="H105:H106"/>
    <mergeCell ref="K95:K96"/>
    <mergeCell ref="J93:J94"/>
    <mergeCell ref="K93:K94"/>
    <mergeCell ref="K97:K98"/>
    <mergeCell ref="K99:K100"/>
    <mergeCell ref="K91:K92"/>
    <mergeCell ref="K101:K102"/>
    <mergeCell ref="K107:K108"/>
    <mergeCell ref="J91:J92"/>
    <mergeCell ref="H101:H102"/>
    <mergeCell ref="G111:G112"/>
    <mergeCell ref="G125:G126"/>
    <mergeCell ref="G105:G106"/>
    <mergeCell ref="H91:H92"/>
    <mergeCell ref="I91:I92"/>
    <mergeCell ref="H125:H126"/>
    <mergeCell ref="I125:I126"/>
    <mergeCell ref="I93:I94"/>
    <mergeCell ref="H103:H104"/>
    <mergeCell ref="I103:I104"/>
    <mergeCell ref="I115:I116"/>
    <mergeCell ref="I109:I110"/>
    <mergeCell ref="I107:I108"/>
    <mergeCell ref="I101:I102"/>
    <mergeCell ref="I99:I100"/>
    <mergeCell ref="I97:I98"/>
    <mergeCell ref="I95:I96"/>
    <mergeCell ref="H111:H112"/>
    <mergeCell ref="I111:I112"/>
    <mergeCell ref="H95:H96"/>
    <mergeCell ref="H97:H98"/>
    <mergeCell ref="H99:H100"/>
    <mergeCell ref="H107:H108"/>
    <mergeCell ref="H109:H110"/>
    <mergeCell ref="C99:C100"/>
    <mergeCell ref="D99:D100"/>
    <mergeCell ref="E99:E100"/>
    <mergeCell ref="F95:F96"/>
    <mergeCell ref="E95:E96"/>
    <mergeCell ref="C95:C96"/>
    <mergeCell ref="D95:D96"/>
    <mergeCell ref="F97:F98"/>
    <mergeCell ref="C97:C98"/>
    <mergeCell ref="D97:D98"/>
    <mergeCell ref="D117:D118"/>
    <mergeCell ref="E117:E118"/>
    <mergeCell ref="F77:F78"/>
    <mergeCell ref="E69:E70"/>
    <mergeCell ref="F69:F70"/>
    <mergeCell ref="C61:C62"/>
    <mergeCell ref="D61:D62"/>
    <mergeCell ref="E61:E62"/>
    <mergeCell ref="C51:C52"/>
    <mergeCell ref="D51:D52"/>
    <mergeCell ref="E51:E52"/>
    <mergeCell ref="F51:F52"/>
    <mergeCell ref="C57:C58"/>
    <mergeCell ref="D57:D58"/>
    <mergeCell ref="E57:E58"/>
    <mergeCell ref="F57:F58"/>
    <mergeCell ref="C101:C102"/>
    <mergeCell ref="D101:D102"/>
    <mergeCell ref="E101:E102"/>
    <mergeCell ref="F61:F62"/>
    <mergeCell ref="D89:D90"/>
    <mergeCell ref="E89:E90"/>
    <mergeCell ref="F89:F90"/>
    <mergeCell ref="F99:F100"/>
    <mergeCell ref="B47:B48"/>
    <mergeCell ref="H87:H88"/>
    <mergeCell ref="C77:C78"/>
    <mergeCell ref="D77:D78"/>
    <mergeCell ref="E77:E78"/>
    <mergeCell ref="H77:H78"/>
    <mergeCell ref="H89:H90"/>
    <mergeCell ref="G65:G66"/>
    <mergeCell ref="G87:G88"/>
    <mergeCell ref="G81:G82"/>
    <mergeCell ref="H81:H82"/>
    <mergeCell ref="H83:H84"/>
    <mergeCell ref="C87:C88"/>
    <mergeCell ref="D87:D88"/>
    <mergeCell ref="E87:E88"/>
    <mergeCell ref="C85:C86"/>
    <mergeCell ref="D85:D86"/>
    <mergeCell ref="E85:E86"/>
    <mergeCell ref="F85:F86"/>
    <mergeCell ref="C65:C66"/>
    <mergeCell ref="D65:D66"/>
    <mergeCell ref="E65:E66"/>
    <mergeCell ref="C53:C54"/>
    <mergeCell ref="G49:G50"/>
    <mergeCell ref="C47:C48"/>
    <mergeCell ref="D47:D48"/>
    <mergeCell ref="E47:E48"/>
    <mergeCell ref="F47:F48"/>
    <mergeCell ref="H43:H44"/>
    <mergeCell ref="H45:H46"/>
    <mergeCell ref="H47:H48"/>
    <mergeCell ref="E45:E46"/>
    <mergeCell ref="F45:F46"/>
    <mergeCell ref="B39:B40"/>
    <mergeCell ref="C39:C40"/>
    <mergeCell ref="D39:D40"/>
    <mergeCell ref="E39:E40"/>
    <mergeCell ref="F39:F40"/>
    <mergeCell ref="B41:B42"/>
    <mergeCell ref="B43:B44"/>
    <mergeCell ref="B45:B46"/>
    <mergeCell ref="H31:H32"/>
    <mergeCell ref="C41:C42"/>
    <mergeCell ref="D41:D42"/>
    <mergeCell ref="E41:E42"/>
    <mergeCell ref="F41:F42"/>
    <mergeCell ref="C43:C44"/>
    <mergeCell ref="D43:D44"/>
    <mergeCell ref="E43:E44"/>
    <mergeCell ref="F43:F44"/>
    <mergeCell ref="C45:C46"/>
    <mergeCell ref="D45:D46"/>
    <mergeCell ref="I31:I32"/>
    <mergeCell ref="C37:C38"/>
    <mergeCell ref="D37:D38"/>
    <mergeCell ref="B35:B36"/>
    <mergeCell ref="C35:C36"/>
    <mergeCell ref="D35:D36"/>
    <mergeCell ref="E35:E36"/>
    <mergeCell ref="F35:F36"/>
    <mergeCell ref="G35:G36"/>
    <mergeCell ref="H35:H36"/>
    <mergeCell ref="I35:I36"/>
    <mergeCell ref="B33:B34"/>
    <mergeCell ref="C33:C34"/>
    <mergeCell ref="D33:D34"/>
    <mergeCell ref="E33:E34"/>
    <mergeCell ref="F33:F34"/>
    <mergeCell ref="G33:G34"/>
    <mergeCell ref="B37:B38"/>
    <mergeCell ref="E37:E38"/>
    <mergeCell ref="F37:F38"/>
    <mergeCell ref="G37:G38"/>
    <mergeCell ref="H37:H38"/>
    <mergeCell ref="I37:I38"/>
    <mergeCell ref="E29:E30"/>
    <mergeCell ref="F29:F30"/>
    <mergeCell ref="G29:G30"/>
    <mergeCell ref="B31:B32"/>
    <mergeCell ref="C31:C32"/>
    <mergeCell ref="D31:D32"/>
    <mergeCell ref="E31:E32"/>
    <mergeCell ref="F31:F32"/>
    <mergeCell ref="G31:G32"/>
    <mergeCell ref="T20:V21"/>
    <mergeCell ref="AE20:AG20"/>
    <mergeCell ref="BC22:BE24"/>
    <mergeCell ref="BF22:BH24"/>
    <mergeCell ref="K29:K30"/>
    <mergeCell ref="J29:J30"/>
    <mergeCell ref="I29:I30"/>
    <mergeCell ref="AV22:AX24"/>
    <mergeCell ref="AY22:BA24"/>
    <mergeCell ref="AI22:AK24"/>
    <mergeCell ref="AL22:AN24"/>
    <mergeCell ref="AO22:AQ24"/>
    <mergeCell ref="A1:C3"/>
    <mergeCell ref="D1:I3"/>
    <mergeCell ref="T22:V24"/>
    <mergeCell ref="B26:B28"/>
    <mergeCell ref="C26:C28"/>
    <mergeCell ref="D26:D28"/>
    <mergeCell ref="F26:F28"/>
    <mergeCell ref="H26:H28"/>
    <mergeCell ref="I26:I28"/>
    <mergeCell ref="J26:J28"/>
    <mergeCell ref="K26:K28"/>
    <mergeCell ref="L26:BK26"/>
    <mergeCell ref="G26:G28"/>
    <mergeCell ref="E26:E28"/>
    <mergeCell ref="BI22:BK24"/>
    <mergeCell ref="BC20:BE20"/>
    <mergeCell ref="BF20:BH20"/>
    <mergeCell ref="N20:P21"/>
    <mergeCell ref="N22:P24"/>
    <mergeCell ref="AS21:AU21"/>
    <mergeCell ref="AV21:AX21"/>
    <mergeCell ref="AY21:BA21"/>
    <mergeCell ref="AS22:AU24"/>
    <mergeCell ref="Q20:S21"/>
    <mergeCell ref="BI21:BK21"/>
    <mergeCell ref="AI20:AK20"/>
    <mergeCell ref="AL20:AN20"/>
    <mergeCell ref="AO20:AQ20"/>
    <mergeCell ref="AI21:AK21"/>
    <mergeCell ref="AL21:AN21"/>
    <mergeCell ref="AO21:AQ21"/>
    <mergeCell ref="BM26:BM28"/>
    <mergeCell ref="Y21:AA21"/>
    <mergeCell ref="Y22:AA24"/>
    <mergeCell ref="Y20:AA20"/>
    <mergeCell ref="AB20:AD20"/>
    <mergeCell ref="AB21:AD21"/>
    <mergeCell ref="AB22:AD24"/>
    <mergeCell ref="AY20:BA20"/>
    <mergeCell ref="AS20:AU20"/>
    <mergeCell ref="AV20:AX20"/>
    <mergeCell ref="BI20:BK20"/>
    <mergeCell ref="J37:J38"/>
    <mergeCell ref="K37:K38"/>
    <mergeCell ref="G53:G54"/>
    <mergeCell ref="K49:K50"/>
    <mergeCell ref="I41:I42"/>
    <mergeCell ref="J41:J42"/>
    <mergeCell ref="I43:I44"/>
    <mergeCell ref="J43:J44"/>
    <mergeCell ref="I45:I46"/>
    <mergeCell ref="J45:J46"/>
    <mergeCell ref="I47:I48"/>
    <mergeCell ref="J47:J48"/>
    <mergeCell ref="I49:I50"/>
    <mergeCell ref="G47:G48"/>
    <mergeCell ref="H29:H30"/>
    <mergeCell ref="H41:H42"/>
    <mergeCell ref="BC21:BE21"/>
    <mergeCell ref="BF21:BH21"/>
    <mergeCell ref="G91:G92"/>
    <mergeCell ref="G89:G90"/>
    <mergeCell ref="G95:G96"/>
    <mergeCell ref="G97:G98"/>
    <mergeCell ref="C69:C70"/>
    <mergeCell ref="D69:D70"/>
    <mergeCell ref="D81:D82"/>
    <mergeCell ref="AE21:AG21"/>
    <mergeCell ref="AE22:AG24"/>
    <mergeCell ref="D53:D54"/>
    <mergeCell ref="E53:E54"/>
    <mergeCell ref="F53:F54"/>
    <mergeCell ref="J35:J36"/>
    <mergeCell ref="H33:H34"/>
    <mergeCell ref="I33:I34"/>
    <mergeCell ref="J33:J34"/>
    <mergeCell ref="G41:G42"/>
    <mergeCell ref="G43:G44"/>
    <mergeCell ref="G45:G46"/>
    <mergeCell ref="G51:G52"/>
    <mergeCell ref="J31:J32"/>
    <mergeCell ref="K31:K32"/>
    <mergeCell ref="Q22:S24"/>
    <mergeCell ref="E97:E98"/>
    <mergeCell ref="F71:F72"/>
    <mergeCell ref="C89:C90"/>
    <mergeCell ref="B69:B70"/>
    <mergeCell ref="B71:B72"/>
    <mergeCell ref="C71:C72"/>
    <mergeCell ref="D71:D72"/>
    <mergeCell ref="E71:E72"/>
    <mergeCell ref="F87:F88"/>
    <mergeCell ref="C91:C92"/>
    <mergeCell ref="D91:D92"/>
    <mergeCell ref="E91:E92"/>
    <mergeCell ref="F91:F92"/>
    <mergeCell ref="B29:B30"/>
    <mergeCell ref="C29:C30"/>
    <mergeCell ref="D29:D30"/>
    <mergeCell ref="I51:I52"/>
    <mergeCell ref="J51:J52"/>
    <mergeCell ref="I53:I54"/>
    <mergeCell ref="I57:I58"/>
    <mergeCell ref="I59:I60"/>
    <mergeCell ref="B173:B174"/>
    <mergeCell ref="C173:C174"/>
    <mergeCell ref="D173:D174"/>
    <mergeCell ref="E173:E174"/>
    <mergeCell ref="F173:F174"/>
    <mergeCell ref="C167:C168"/>
    <mergeCell ref="D167:D168"/>
    <mergeCell ref="C145:C146"/>
    <mergeCell ref="D145:D146"/>
    <mergeCell ref="F153:F154"/>
    <mergeCell ref="F155:F156"/>
    <mergeCell ref="C157:C158"/>
    <mergeCell ref="D157:D158"/>
    <mergeCell ref="E157:E158"/>
    <mergeCell ref="C159:C160"/>
    <mergeCell ref="D159:D160"/>
    <mergeCell ref="E159:E160"/>
    <mergeCell ref="D163:D164"/>
    <mergeCell ref="E163:E164"/>
    <mergeCell ref="F163:F164"/>
    <mergeCell ref="B159:B160"/>
    <mergeCell ref="B167:B168"/>
    <mergeCell ref="C147:C148"/>
    <mergeCell ref="D147:D148"/>
    <mergeCell ref="K173:K174"/>
    <mergeCell ref="G85:G86"/>
    <mergeCell ref="G93:G94"/>
    <mergeCell ref="H93:H94"/>
    <mergeCell ref="E127:E128"/>
    <mergeCell ref="H113:H114"/>
    <mergeCell ref="H121:H122"/>
    <mergeCell ref="I121:I122"/>
    <mergeCell ref="G113:G114"/>
    <mergeCell ref="G121:G122"/>
    <mergeCell ref="E113:E114"/>
    <mergeCell ref="F113:F114"/>
    <mergeCell ref="E121:E122"/>
    <mergeCell ref="F121:F122"/>
    <mergeCell ref="G153:G154"/>
    <mergeCell ref="G155:G156"/>
    <mergeCell ref="G173:G174"/>
    <mergeCell ref="E111:E112"/>
    <mergeCell ref="F143:F144"/>
    <mergeCell ref="E139:E140"/>
    <mergeCell ref="F139:F140"/>
    <mergeCell ref="G137:G138"/>
    <mergeCell ref="G131:G132"/>
    <mergeCell ref="H85:H86"/>
    <mergeCell ref="K141:K142"/>
    <mergeCell ref="G141:G142"/>
    <mergeCell ref="H141:H142"/>
    <mergeCell ref="B141:B142"/>
    <mergeCell ref="C141:C142"/>
    <mergeCell ref="D141:D142"/>
    <mergeCell ref="E141:E142"/>
    <mergeCell ref="F141:F142"/>
    <mergeCell ref="B139:B140"/>
    <mergeCell ref="G139:G140"/>
    <mergeCell ref="H139:H140"/>
    <mergeCell ref="C139:C140"/>
    <mergeCell ref="D139:D140"/>
    <mergeCell ref="I141:I142"/>
    <mergeCell ref="I139:I140"/>
    <mergeCell ref="J137:J138"/>
    <mergeCell ref="C125:C126"/>
    <mergeCell ref="D125:D126"/>
    <mergeCell ref="E125:E126"/>
    <mergeCell ref="J131:J132"/>
    <mergeCell ref="J121:J122"/>
    <mergeCell ref="J135:J136"/>
    <mergeCell ref="H137:H138"/>
    <mergeCell ref="C137:C138"/>
    <mergeCell ref="D137:D138"/>
    <mergeCell ref="E137:E138"/>
    <mergeCell ref="F137:F138"/>
    <mergeCell ref="F133:F134"/>
    <mergeCell ref="C133:C134"/>
    <mergeCell ref="F135:F136"/>
    <mergeCell ref="C123:C124"/>
    <mergeCell ref="I129:I130"/>
    <mergeCell ref="D133:D134"/>
    <mergeCell ref="D135:D136"/>
    <mergeCell ref="E135:E136"/>
    <mergeCell ref="F131:F132"/>
    <mergeCell ref="E131:E132"/>
    <mergeCell ref="C131:C132"/>
    <mergeCell ref="B175:B176"/>
    <mergeCell ref="C175:C176"/>
    <mergeCell ref="D175:D176"/>
    <mergeCell ref="E175:E176"/>
    <mergeCell ref="F175:F176"/>
    <mergeCell ref="G175:G176"/>
    <mergeCell ref="H175:H176"/>
    <mergeCell ref="I175:I176"/>
    <mergeCell ref="J175:J176"/>
    <mergeCell ref="K177:K178"/>
    <mergeCell ref="G107:G108"/>
    <mergeCell ref="G177:G178"/>
    <mergeCell ref="H177:H178"/>
    <mergeCell ref="B177:B178"/>
    <mergeCell ref="C177:C178"/>
    <mergeCell ref="D177:D178"/>
    <mergeCell ref="E177:E178"/>
    <mergeCell ref="F177:F178"/>
    <mergeCell ref="G133:G134"/>
    <mergeCell ref="B115:B116"/>
    <mergeCell ref="C115:C116"/>
    <mergeCell ref="D115:D116"/>
    <mergeCell ref="E115:E116"/>
    <mergeCell ref="F115:F116"/>
    <mergeCell ref="G115:G116"/>
    <mergeCell ref="H115:H116"/>
    <mergeCell ref="K129:K130"/>
    <mergeCell ref="B129:B130"/>
    <mergeCell ref="C129:C130"/>
    <mergeCell ref="D129:D130"/>
    <mergeCell ref="E129:E130"/>
    <mergeCell ref="F129:F130"/>
    <mergeCell ref="K115:K116"/>
    <mergeCell ref="G117:G118"/>
    <mergeCell ref="G135:G136"/>
    <mergeCell ref="K175:K176"/>
    <mergeCell ref="J129:J130"/>
    <mergeCell ref="D153:D154"/>
    <mergeCell ref="D155:D156"/>
    <mergeCell ref="E153:E154"/>
    <mergeCell ref="E155:E156"/>
    <mergeCell ref="D123:D124"/>
    <mergeCell ref="E123:E124"/>
    <mergeCell ref="F123:F124"/>
    <mergeCell ref="G123:G124"/>
    <mergeCell ref="H123:H124"/>
    <mergeCell ref="H147:H148"/>
    <mergeCell ref="K127:K128"/>
    <mergeCell ref="K131:K132"/>
    <mergeCell ref="K133:K134"/>
    <mergeCell ref="K117:K118"/>
    <mergeCell ref="K119:K120"/>
    <mergeCell ref="K123:K124"/>
    <mergeCell ref="K121:K122"/>
    <mergeCell ref="I153:I154"/>
    <mergeCell ref="G129:G130"/>
    <mergeCell ref="E147:E148"/>
    <mergeCell ref="I177:I178"/>
    <mergeCell ref="J177:J178"/>
    <mergeCell ref="H173:H174"/>
    <mergeCell ref="I173:I174"/>
    <mergeCell ref="J173:J174"/>
    <mergeCell ref="C165:C166"/>
    <mergeCell ref="D165:D166"/>
    <mergeCell ref="E165:E166"/>
    <mergeCell ref="F165:F166"/>
    <mergeCell ref="G167:G168"/>
    <mergeCell ref="H167:H168"/>
    <mergeCell ref="I167:I168"/>
    <mergeCell ref="I171:I172"/>
    <mergeCell ref="J171:J172"/>
    <mergeCell ref="E167:E168"/>
    <mergeCell ref="F167:F168"/>
    <mergeCell ref="G171:G172"/>
    <mergeCell ref="H171:H172"/>
    <mergeCell ref="G169:G170"/>
    <mergeCell ref="H169:H170"/>
    <mergeCell ref="H159:H160"/>
    <mergeCell ref="B119:B120"/>
    <mergeCell ref="B121:B122"/>
    <mergeCell ref="B133:B134"/>
    <mergeCell ref="B135:B136"/>
    <mergeCell ref="B143:B144"/>
    <mergeCell ref="G143:G144"/>
    <mergeCell ref="G145:G146"/>
    <mergeCell ref="E145:E146"/>
    <mergeCell ref="F145:F146"/>
    <mergeCell ref="B147:B148"/>
    <mergeCell ref="B157:B158"/>
    <mergeCell ref="G157:G158"/>
    <mergeCell ref="C121:C122"/>
    <mergeCell ref="D121:D122"/>
    <mergeCell ref="B125:B126"/>
    <mergeCell ref="D131:D132"/>
    <mergeCell ref="C127:C128"/>
    <mergeCell ref="D127:D128"/>
    <mergeCell ref="F127:F128"/>
    <mergeCell ref="B137:B138"/>
    <mergeCell ref="E143:E144"/>
    <mergeCell ref="C143:C144"/>
    <mergeCell ref="C135:C136"/>
    <mergeCell ref="H117:H118"/>
    <mergeCell ref="H119:H120"/>
    <mergeCell ref="H127:H128"/>
    <mergeCell ref="H131:H132"/>
    <mergeCell ref="H133:H134"/>
    <mergeCell ref="H135:H136"/>
    <mergeCell ref="H143:H144"/>
    <mergeCell ref="H129:H130"/>
    <mergeCell ref="H145:H146"/>
    <mergeCell ref="F119:F120"/>
    <mergeCell ref="E119:E120"/>
    <mergeCell ref="D119:D120"/>
    <mergeCell ref="C119:C120"/>
    <mergeCell ref="E133:E134"/>
    <mergeCell ref="G119:G120"/>
    <mergeCell ref="G127:G128"/>
    <mergeCell ref="I143:I144"/>
    <mergeCell ref="I131:I132"/>
    <mergeCell ref="I133:I134"/>
    <mergeCell ref="I135:I136"/>
    <mergeCell ref="I127:I128"/>
    <mergeCell ref="I123:I124"/>
    <mergeCell ref="D143:D144"/>
    <mergeCell ref="I137:I138"/>
    <mergeCell ref="J145:J146"/>
    <mergeCell ref="K145:K146"/>
    <mergeCell ref="B149:B150"/>
    <mergeCell ref="G149:G150"/>
    <mergeCell ref="H149:H150"/>
    <mergeCell ref="I149:I150"/>
    <mergeCell ref="J149:J150"/>
    <mergeCell ref="K149:K150"/>
    <mergeCell ref="I147:I148"/>
    <mergeCell ref="J147:J148"/>
    <mergeCell ref="K147:K148"/>
    <mergeCell ref="G147:G148"/>
    <mergeCell ref="F147:F148"/>
    <mergeCell ref="C149:C150"/>
    <mergeCell ref="D149:D150"/>
    <mergeCell ref="E149:E150"/>
    <mergeCell ref="F149:F150"/>
    <mergeCell ref="B145:B146"/>
    <mergeCell ref="I145:I146"/>
    <mergeCell ref="H157:H158"/>
    <mergeCell ref="I157:I158"/>
    <mergeCell ref="G151:G152"/>
    <mergeCell ref="H151:H152"/>
    <mergeCell ref="B151:B152"/>
    <mergeCell ref="J157:J158"/>
    <mergeCell ref="K157:K158"/>
    <mergeCell ref="K153:K154"/>
    <mergeCell ref="K155:K156"/>
    <mergeCell ref="H153:H154"/>
    <mergeCell ref="H155:H156"/>
    <mergeCell ref="J153:J154"/>
    <mergeCell ref="J155:J156"/>
    <mergeCell ref="B153:B154"/>
    <mergeCell ref="B155:B156"/>
    <mergeCell ref="F157:F158"/>
    <mergeCell ref="C151:C152"/>
    <mergeCell ref="D151:D152"/>
    <mergeCell ref="E151:E152"/>
    <mergeCell ref="F151:F152"/>
    <mergeCell ref="C153:C154"/>
    <mergeCell ref="C155:C156"/>
    <mergeCell ref="I155:I156"/>
    <mergeCell ref="I159:I160"/>
    <mergeCell ref="I161:I162"/>
    <mergeCell ref="J161:J162"/>
    <mergeCell ref="K161:K162"/>
    <mergeCell ref="J165:J166"/>
    <mergeCell ref="K165:K166"/>
    <mergeCell ref="B163:B164"/>
    <mergeCell ref="G163:G164"/>
    <mergeCell ref="H163:H164"/>
    <mergeCell ref="I163:I164"/>
    <mergeCell ref="G161:G162"/>
    <mergeCell ref="H161:H162"/>
    <mergeCell ref="B161:B162"/>
    <mergeCell ref="G165:G166"/>
    <mergeCell ref="H165:H166"/>
    <mergeCell ref="B165:B166"/>
    <mergeCell ref="I165:I166"/>
    <mergeCell ref="C161:C162"/>
    <mergeCell ref="D161:D162"/>
    <mergeCell ref="E161:E162"/>
    <mergeCell ref="F161:F162"/>
    <mergeCell ref="F159:F160"/>
    <mergeCell ref="C163:C164"/>
    <mergeCell ref="G159:G160"/>
    <mergeCell ref="B171:B172"/>
    <mergeCell ref="C171:C172"/>
    <mergeCell ref="D171:D172"/>
    <mergeCell ref="E171:E172"/>
    <mergeCell ref="F171:F172"/>
    <mergeCell ref="B169:B170"/>
    <mergeCell ref="C169:C170"/>
    <mergeCell ref="D169:D170"/>
    <mergeCell ref="E169:E170"/>
    <mergeCell ref="F169:F170"/>
    <mergeCell ref="AC184:AL184"/>
    <mergeCell ref="AC185:AL186"/>
    <mergeCell ref="AM184:AV184"/>
    <mergeCell ref="AM185:AV186"/>
    <mergeCell ref="AW184:BF184"/>
    <mergeCell ref="AW185:BF186"/>
    <mergeCell ref="C73:C74"/>
    <mergeCell ref="D73:D74"/>
    <mergeCell ref="E73:E74"/>
    <mergeCell ref="F73:F74"/>
    <mergeCell ref="C75:C76"/>
    <mergeCell ref="D75:D76"/>
    <mergeCell ref="E75:E76"/>
    <mergeCell ref="F75:F76"/>
    <mergeCell ref="G75:G76"/>
    <mergeCell ref="C79:C80"/>
    <mergeCell ref="D79:D80"/>
    <mergeCell ref="E79:E80"/>
    <mergeCell ref="F79:F80"/>
    <mergeCell ref="C81:C82"/>
    <mergeCell ref="K171:K172"/>
    <mergeCell ref="C83:C84"/>
    <mergeCell ref="D83:D84"/>
    <mergeCell ref="E83:E84"/>
    <mergeCell ref="J5:K6"/>
    <mergeCell ref="J7:K7"/>
    <mergeCell ref="J8:K9"/>
    <mergeCell ref="J10:J12"/>
    <mergeCell ref="J13:J15"/>
    <mergeCell ref="K10:K12"/>
    <mergeCell ref="K13:K15"/>
    <mergeCell ref="B5:D5"/>
    <mergeCell ref="B6:D6"/>
    <mergeCell ref="B7:D7"/>
    <mergeCell ref="B10:D11"/>
    <mergeCell ref="B12:D13"/>
    <mergeCell ref="B14:D15"/>
    <mergeCell ref="E5:H5"/>
    <mergeCell ref="E6:H6"/>
    <mergeCell ref="E7:H7"/>
    <mergeCell ref="E10:H10"/>
    <mergeCell ref="E11:H11"/>
    <mergeCell ref="E12:H12"/>
    <mergeCell ref="E13:H13"/>
    <mergeCell ref="E14:H14"/>
    <mergeCell ref="E15:H15"/>
    <mergeCell ref="B8:D9"/>
    <mergeCell ref="E8:H9"/>
    <mergeCell ref="G79:G80"/>
    <mergeCell ref="G83:G84"/>
    <mergeCell ref="H51:H52"/>
    <mergeCell ref="H53:H54"/>
    <mergeCell ref="H57:H58"/>
    <mergeCell ref="H59:H60"/>
    <mergeCell ref="H61:H62"/>
    <mergeCell ref="H63:H64"/>
    <mergeCell ref="H65:H66"/>
    <mergeCell ref="H73:H74"/>
    <mergeCell ref="H75:H76"/>
    <mergeCell ref="H79:H80"/>
    <mergeCell ref="G55:G56"/>
    <mergeCell ref="B81:B82"/>
    <mergeCell ref="B83:B84"/>
    <mergeCell ref="B85:B86"/>
    <mergeCell ref="B87:B88"/>
    <mergeCell ref="C63:C64"/>
    <mergeCell ref="D63:D64"/>
    <mergeCell ref="E63:E64"/>
    <mergeCell ref="F63:F64"/>
    <mergeCell ref="B55:B56"/>
    <mergeCell ref="C55:C56"/>
    <mergeCell ref="D55:D56"/>
    <mergeCell ref="E55:E56"/>
    <mergeCell ref="F55:F56"/>
    <mergeCell ref="B67:B68"/>
    <mergeCell ref="C67:C68"/>
    <mergeCell ref="D67:D68"/>
    <mergeCell ref="E67:E68"/>
    <mergeCell ref="F67:F68"/>
    <mergeCell ref="E81:E82"/>
    <mergeCell ref="F81:F82"/>
    <mergeCell ref="F83:F84"/>
    <mergeCell ref="F65:F66"/>
    <mergeCell ref="C59:C60"/>
    <mergeCell ref="D59:D60"/>
    <mergeCell ref="B49:B50"/>
    <mergeCell ref="B51:B52"/>
    <mergeCell ref="B53:B54"/>
    <mergeCell ref="B57:B58"/>
    <mergeCell ref="B59:B60"/>
    <mergeCell ref="B61:B62"/>
    <mergeCell ref="G77:G78"/>
    <mergeCell ref="G69:G70"/>
    <mergeCell ref="H69:H70"/>
    <mergeCell ref="H49:H50"/>
    <mergeCell ref="H55:H56"/>
    <mergeCell ref="G67:G68"/>
    <mergeCell ref="C49:C50"/>
    <mergeCell ref="D49:D50"/>
    <mergeCell ref="E49:E50"/>
    <mergeCell ref="F49:F50"/>
    <mergeCell ref="H67:H68"/>
    <mergeCell ref="G73:G74"/>
    <mergeCell ref="E59:E60"/>
    <mergeCell ref="F59:F60"/>
    <mergeCell ref="I69:I70"/>
    <mergeCell ref="J69:J70"/>
    <mergeCell ref="J75:J76"/>
    <mergeCell ref="J77:J78"/>
    <mergeCell ref="I77:I78"/>
    <mergeCell ref="I75:I76"/>
    <mergeCell ref="I73:I74"/>
    <mergeCell ref="J73:J74"/>
    <mergeCell ref="G71:G72"/>
    <mergeCell ref="H71:H72"/>
    <mergeCell ref="I71:I72"/>
    <mergeCell ref="J71:J72"/>
    <mergeCell ref="K79:K80"/>
    <mergeCell ref="K81:K82"/>
    <mergeCell ref="K83:K84"/>
    <mergeCell ref="K85:K86"/>
    <mergeCell ref="K77:K78"/>
    <mergeCell ref="K69:K70"/>
    <mergeCell ref="K71:K72"/>
    <mergeCell ref="K73:K74"/>
    <mergeCell ref="K75:K76"/>
    <mergeCell ref="I85:I86"/>
    <mergeCell ref="I83:I84"/>
    <mergeCell ref="I81:I82"/>
    <mergeCell ref="I79:I80"/>
    <mergeCell ref="I89:I90"/>
    <mergeCell ref="J81:J82"/>
    <mergeCell ref="J83:J84"/>
    <mergeCell ref="J89:J90"/>
    <mergeCell ref="J85:J86"/>
    <mergeCell ref="J87:J88"/>
    <mergeCell ref="J79:J80"/>
    <mergeCell ref="G103:G104"/>
    <mergeCell ref="G101:G102"/>
    <mergeCell ref="G99:G100"/>
    <mergeCell ref="C113:C114"/>
    <mergeCell ref="F111:F112"/>
    <mergeCell ref="C111:C112"/>
    <mergeCell ref="D111:D112"/>
    <mergeCell ref="G109:G110"/>
    <mergeCell ref="K87:K88"/>
    <mergeCell ref="K89:K90"/>
    <mergeCell ref="I87:I88"/>
    <mergeCell ref="F107:F108"/>
    <mergeCell ref="C107:C108"/>
    <mergeCell ref="D107:D108"/>
    <mergeCell ref="E107:E108"/>
    <mergeCell ref="C103:C104"/>
    <mergeCell ref="D103:D104"/>
    <mergeCell ref="E103:E104"/>
    <mergeCell ref="F103:F104"/>
    <mergeCell ref="C105:C106"/>
    <mergeCell ref="D105:D106"/>
    <mergeCell ref="E105:E106"/>
    <mergeCell ref="F105:F106"/>
    <mergeCell ref="F101:F102"/>
    <mergeCell ref="J119:J120"/>
    <mergeCell ref="J105:J106"/>
    <mergeCell ref="J123:J124"/>
    <mergeCell ref="J127:J128"/>
    <mergeCell ref="I117:I118"/>
    <mergeCell ref="I119:I120"/>
    <mergeCell ref="J115:J116"/>
    <mergeCell ref="B113:B114"/>
    <mergeCell ref="B93:B94"/>
    <mergeCell ref="C93:C94"/>
    <mergeCell ref="D93:D94"/>
    <mergeCell ref="E93:E94"/>
    <mergeCell ref="F93:F94"/>
    <mergeCell ref="J103:J104"/>
    <mergeCell ref="F125:F126"/>
    <mergeCell ref="C109:C110"/>
    <mergeCell ref="D109:D110"/>
    <mergeCell ref="E109:E110"/>
    <mergeCell ref="F117:F118"/>
    <mergeCell ref="C117:C118"/>
    <mergeCell ref="B111:B112"/>
    <mergeCell ref="F109:F110"/>
    <mergeCell ref="D113:D114"/>
    <mergeCell ref="B103:B104"/>
    <mergeCell ref="J143:J144"/>
    <mergeCell ref="J141:J142"/>
    <mergeCell ref="J139:J140"/>
    <mergeCell ref="J125:J126"/>
    <mergeCell ref="B63:B64"/>
    <mergeCell ref="B65:B66"/>
    <mergeCell ref="B73:B74"/>
    <mergeCell ref="B75:B76"/>
    <mergeCell ref="B77:B78"/>
    <mergeCell ref="B79:B80"/>
    <mergeCell ref="B123:B124"/>
    <mergeCell ref="B127:B128"/>
    <mergeCell ref="B131:B132"/>
    <mergeCell ref="B89:B90"/>
    <mergeCell ref="B95:B96"/>
    <mergeCell ref="B97:B98"/>
    <mergeCell ref="B99:B100"/>
    <mergeCell ref="B101:B102"/>
    <mergeCell ref="B107:B108"/>
    <mergeCell ref="B109:B110"/>
    <mergeCell ref="B117:B118"/>
    <mergeCell ref="B105:B106"/>
    <mergeCell ref="B91:B92"/>
    <mergeCell ref="J117:J118"/>
  </mergeCells>
  <conditionalFormatting sqref="B19">
    <cfRule type="cellIs" dxfId="312" priority="2997" operator="equal">
      <formula>4</formula>
    </cfRule>
    <cfRule type="cellIs" dxfId="311" priority="2998" operator="equal">
      <formula>3</formula>
    </cfRule>
    <cfRule type="cellIs" dxfId="310" priority="2999" operator="equal">
      <formula>2</formula>
    </cfRule>
  </conditionalFormatting>
  <conditionalFormatting sqref="B19:B20">
    <cfRule type="cellIs" dxfId="309" priority="2996" operator="equal">
      <formula>1</formula>
    </cfRule>
  </conditionalFormatting>
  <conditionalFormatting sqref="B20">
    <cfRule type="cellIs" dxfId="308" priority="2995" operator="equal">
      <formula>2</formula>
    </cfRule>
  </conditionalFormatting>
  <conditionalFormatting sqref="I29 I31 I33 I35 I37 I39 I41 I43 I45 I47 I49 I51">
    <cfRule type="cellIs" dxfId="307" priority="1855" operator="equal">
      <formula>"En Proceso"</formula>
    </cfRule>
    <cfRule type="cellIs" dxfId="306" priority="1854" operator="equal">
      <formula>"Terminado"</formula>
    </cfRule>
    <cfRule type="cellIs" dxfId="305" priority="1856" operator="equal">
      <formula>"Por Ejecutar"</formula>
    </cfRule>
    <cfRule type="cellIs" dxfId="304" priority="1853" operator="equal">
      <formula>"Atrasado"</formula>
    </cfRule>
  </conditionalFormatting>
  <conditionalFormatting sqref="I53">
    <cfRule type="cellIs" dxfId="303" priority="96" operator="equal">
      <formula>"Por Ejecutar"</formula>
    </cfRule>
    <cfRule type="cellIs" dxfId="302" priority="95" operator="equal">
      <formula>"En Proceso"</formula>
    </cfRule>
    <cfRule type="cellIs" dxfId="301" priority="94" operator="equal">
      <formula>"Terminado"</formula>
    </cfRule>
    <cfRule type="cellIs" dxfId="300" priority="93" operator="equal">
      <formula>"Atrasado"</formula>
    </cfRule>
  </conditionalFormatting>
  <conditionalFormatting sqref="I55">
    <cfRule type="cellIs" dxfId="299" priority="35" operator="equal">
      <formula>"Atrasado"</formula>
    </cfRule>
    <cfRule type="cellIs" dxfId="298" priority="36" operator="equal">
      <formula>"Terminado"</formula>
    </cfRule>
    <cfRule type="cellIs" dxfId="297" priority="37" operator="equal">
      <formula>"En Proceso"</formula>
    </cfRule>
    <cfRule type="cellIs" dxfId="296" priority="38" operator="equal">
      <formula>"Por Ejecutar"</formula>
    </cfRule>
  </conditionalFormatting>
  <conditionalFormatting sqref="I57">
    <cfRule type="cellIs" dxfId="295" priority="34" operator="equal">
      <formula>"Por Ejecutar"</formula>
    </cfRule>
    <cfRule type="cellIs" dxfId="294" priority="33" operator="equal">
      <formula>"En Proceso"</formula>
    </cfRule>
    <cfRule type="cellIs" dxfId="293" priority="31" operator="equal">
      <formula>"Atrasado"</formula>
    </cfRule>
    <cfRule type="cellIs" dxfId="292" priority="32" operator="equal">
      <formula>"Terminado"</formula>
    </cfRule>
  </conditionalFormatting>
  <conditionalFormatting sqref="I59">
    <cfRule type="cellIs" dxfId="291" priority="27" operator="equal">
      <formula>"Atrasado"</formula>
    </cfRule>
    <cfRule type="cellIs" dxfId="290" priority="29" operator="equal">
      <formula>"En Proceso"</formula>
    </cfRule>
    <cfRule type="cellIs" dxfId="289" priority="30" operator="equal">
      <formula>"Por Ejecutar"</formula>
    </cfRule>
    <cfRule type="cellIs" dxfId="288" priority="28" operator="equal">
      <formula>"Terminado"</formula>
    </cfRule>
  </conditionalFormatting>
  <conditionalFormatting sqref="I61">
    <cfRule type="cellIs" dxfId="287" priority="23" operator="equal">
      <formula>"Atrasado"</formula>
    </cfRule>
    <cfRule type="cellIs" dxfId="286" priority="24" operator="equal">
      <formula>"Terminado"</formula>
    </cfRule>
    <cfRule type="cellIs" dxfId="285" priority="25" operator="equal">
      <formula>"En Proceso"</formula>
    </cfRule>
    <cfRule type="cellIs" dxfId="284" priority="26" operator="equal">
      <formula>"Por Ejecutar"</formula>
    </cfRule>
  </conditionalFormatting>
  <conditionalFormatting sqref="I63">
    <cfRule type="cellIs" dxfId="283" priority="22" operator="equal">
      <formula>"Por Ejecutar"</formula>
    </cfRule>
    <cfRule type="cellIs" dxfId="282" priority="19" operator="equal">
      <formula>"Atrasado"</formula>
    </cfRule>
    <cfRule type="cellIs" dxfId="281" priority="20" operator="equal">
      <formula>"Terminado"</formula>
    </cfRule>
    <cfRule type="cellIs" dxfId="280" priority="21" operator="equal">
      <formula>"En Proceso"</formula>
    </cfRule>
  </conditionalFormatting>
  <conditionalFormatting sqref="I65">
    <cfRule type="cellIs" dxfId="279" priority="69" operator="equal">
      <formula>"Atrasado"</formula>
    </cfRule>
    <cfRule type="cellIs" dxfId="278" priority="70" operator="equal">
      <formula>"Terminado"</formula>
    </cfRule>
    <cfRule type="cellIs" dxfId="277" priority="72" operator="equal">
      <formula>"Por Ejecutar"</formula>
    </cfRule>
    <cfRule type="cellIs" dxfId="276" priority="71" operator="equal">
      <formula>"En Proceso"</formula>
    </cfRule>
  </conditionalFormatting>
  <conditionalFormatting sqref="I67">
    <cfRule type="cellIs" dxfId="275" priority="258" operator="equal">
      <formula>"Terminado"</formula>
    </cfRule>
    <cfRule type="cellIs" dxfId="274" priority="257" operator="equal">
      <formula>"Atrasado"</formula>
    </cfRule>
    <cfRule type="cellIs" dxfId="273" priority="259" operator="equal">
      <formula>"En Proceso"</formula>
    </cfRule>
    <cfRule type="cellIs" dxfId="272" priority="260" operator="equal">
      <formula>"Por Ejecutar"</formula>
    </cfRule>
  </conditionalFormatting>
  <conditionalFormatting sqref="I69">
    <cfRule type="cellIs" dxfId="271" priority="256" operator="equal">
      <formula>"Por Ejecutar"</formula>
    </cfRule>
    <cfRule type="cellIs" dxfId="270" priority="253" operator="equal">
      <formula>"Atrasado"</formula>
    </cfRule>
    <cfRule type="cellIs" dxfId="269" priority="255" operator="equal">
      <formula>"En Proceso"</formula>
    </cfRule>
    <cfRule type="cellIs" dxfId="268" priority="254" operator="equal">
      <formula>"Terminado"</formula>
    </cfRule>
  </conditionalFormatting>
  <conditionalFormatting sqref="I71">
    <cfRule type="cellIs" dxfId="267" priority="242" operator="equal">
      <formula>"Terminado"</formula>
    </cfRule>
    <cfRule type="cellIs" dxfId="266" priority="241" operator="equal">
      <formula>"Atrasado"</formula>
    </cfRule>
    <cfRule type="cellIs" dxfId="265" priority="243" operator="equal">
      <formula>"En Proceso"</formula>
    </cfRule>
    <cfRule type="cellIs" dxfId="264" priority="244" operator="equal">
      <formula>"Por Ejecutar"</formula>
    </cfRule>
  </conditionalFormatting>
  <conditionalFormatting sqref="I73">
    <cfRule type="cellIs" dxfId="263" priority="98" operator="equal">
      <formula>"Terminado"</formula>
    </cfRule>
    <cfRule type="cellIs" dxfId="262" priority="97" operator="equal">
      <formula>"Atrasado"</formula>
    </cfRule>
    <cfRule type="cellIs" dxfId="261" priority="99" operator="equal">
      <formula>"En Proceso"</formula>
    </cfRule>
    <cfRule type="cellIs" dxfId="260" priority="100" operator="equal">
      <formula>"Por Ejecutar"</formula>
    </cfRule>
  </conditionalFormatting>
  <conditionalFormatting sqref="I75">
    <cfRule type="cellIs" dxfId="259" priority="102" operator="equal">
      <formula>"Terminado"</formula>
    </cfRule>
    <cfRule type="cellIs" dxfId="258" priority="103" operator="equal">
      <formula>"En Proceso"</formula>
    </cfRule>
    <cfRule type="cellIs" dxfId="257" priority="104" operator="equal">
      <formula>"Por Ejecutar"</formula>
    </cfRule>
    <cfRule type="cellIs" dxfId="256" priority="101" operator="equal">
      <formula>"Atrasado"</formula>
    </cfRule>
  </conditionalFormatting>
  <conditionalFormatting sqref="I77">
    <cfRule type="cellIs" dxfId="255" priority="105" operator="equal">
      <formula>"Atrasado"</formula>
    </cfRule>
    <cfRule type="cellIs" dxfId="254" priority="106" operator="equal">
      <formula>"Terminado"</formula>
    </cfRule>
    <cfRule type="cellIs" dxfId="253" priority="107" operator="equal">
      <formula>"En Proceso"</formula>
    </cfRule>
    <cfRule type="cellIs" dxfId="252" priority="108" operator="equal">
      <formula>"Por Ejecutar"</formula>
    </cfRule>
  </conditionalFormatting>
  <conditionalFormatting sqref="I79">
    <cfRule type="cellIs" dxfId="251" priority="111" operator="equal">
      <formula>"En Proceso"</formula>
    </cfRule>
    <cfRule type="cellIs" dxfId="250" priority="110" operator="equal">
      <formula>"Terminado"</formula>
    </cfRule>
    <cfRule type="cellIs" dxfId="249" priority="109" operator="equal">
      <formula>"Atrasado"</formula>
    </cfRule>
    <cfRule type="cellIs" dxfId="248" priority="112" operator="equal">
      <formula>"Por Ejecutar"</formula>
    </cfRule>
  </conditionalFormatting>
  <conditionalFormatting sqref="I81">
    <cfRule type="cellIs" dxfId="247" priority="115" operator="equal">
      <formula>"En Proceso"</formula>
    </cfRule>
    <cfRule type="cellIs" dxfId="246" priority="113" operator="equal">
      <formula>"Atrasado"</formula>
    </cfRule>
    <cfRule type="cellIs" dxfId="245" priority="116" operator="equal">
      <formula>"Por Ejecutar"</formula>
    </cfRule>
    <cfRule type="cellIs" dxfId="244" priority="114" operator="equal">
      <formula>"Terminado"</formula>
    </cfRule>
  </conditionalFormatting>
  <conditionalFormatting sqref="I83">
    <cfRule type="cellIs" dxfId="243" priority="120" operator="equal">
      <formula>"Por Ejecutar"</formula>
    </cfRule>
    <cfRule type="cellIs" dxfId="242" priority="119" operator="equal">
      <formula>"En Proceso"</formula>
    </cfRule>
    <cfRule type="cellIs" dxfId="241" priority="118" operator="equal">
      <formula>"Terminado"</formula>
    </cfRule>
    <cfRule type="cellIs" dxfId="240" priority="117" operator="equal">
      <formula>"Atrasado"</formula>
    </cfRule>
  </conditionalFormatting>
  <conditionalFormatting sqref="I85">
    <cfRule type="cellIs" dxfId="239" priority="123" operator="equal">
      <formula>"En Proceso"</formula>
    </cfRule>
    <cfRule type="cellIs" dxfId="238" priority="122" operator="equal">
      <formula>"Terminado"</formula>
    </cfRule>
    <cfRule type="cellIs" dxfId="237" priority="121" operator="equal">
      <formula>"Atrasado"</formula>
    </cfRule>
    <cfRule type="cellIs" dxfId="236" priority="124" operator="equal">
      <formula>"Por Ejecutar"</formula>
    </cfRule>
  </conditionalFormatting>
  <conditionalFormatting sqref="I87">
    <cfRule type="cellIs" dxfId="235" priority="126" operator="equal">
      <formula>"Terminado"</formula>
    </cfRule>
    <cfRule type="cellIs" dxfId="234" priority="125" operator="equal">
      <formula>"Atrasado"</formula>
    </cfRule>
    <cfRule type="cellIs" dxfId="233" priority="127" operator="equal">
      <formula>"En Proceso"</formula>
    </cfRule>
    <cfRule type="cellIs" dxfId="232" priority="128" operator="equal">
      <formula>"Por Ejecutar"</formula>
    </cfRule>
  </conditionalFormatting>
  <conditionalFormatting sqref="I89">
    <cfRule type="cellIs" dxfId="231" priority="130" operator="equal">
      <formula>"Terminado"</formula>
    </cfRule>
    <cfRule type="cellIs" dxfId="230" priority="131" operator="equal">
      <formula>"En Proceso"</formula>
    </cfRule>
    <cfRule type="cellIs" dxfId="229" priority="132" operator="equal">
      <formula>"Por Ejecutar"</formula>
    </cfRule>
    <cfRule type="cellIs" dxfId="228" priority="129" operator="equal">
      <formula>"Atrasado"</formula>
    </cfRule>
  </conditionalFormatting>
  <conditionalFormatting sqref="I91">
    <cfRule type="cellIs" dxfId="227" priority="248" operator="equal">
      <formula>"Por Ejecutar"</formula>
    </cfRule>
    <cfRule type="cellIs" dxfId="226" priority="247" operator="equal">
      <formula>"En Proceso"</formula>
    </cfRule>
    <cfRule type="cellIs" dxfId="225" priority="246" operator="equal">
      <formula>"Terminado"</formula>
    </cfRule>
    <cfRule type="cellIs" dxfId="224" priority="245" operator="equal">
      <formula>"Atrasado"</formula>
    </cfRule>
  </conditionalFormatting>
  <conditionalFormatting sqref="I93">
    <cfRule type="cellIs" dxfId="223" priority="959" operator="equal">
      <formula>"Atrasado"</formula>
    </cfRule>
    <cfRule type="cellIs" dxfId="222" priority="962" operator="equal">
      <formula>"Por Ejecutar"</formula>
    </cfRule>
    <cfRule type="cellIs" dxfId="221" priority="961" operator="equal">
      <formula>"En Proceso"</formula>
    </cfRule>
    <cfRule type="cellIs" dxfId="220" priority="960" operator="equal">
      <formula>"Terminado"</formula>
    </cfRule>
  </conditionalFormatting>
  <conditionalFormatting sqref="I95">
    <cfRule type="cellIs" dxfId="219" priority="133" operator="equal">
      <formula>"Atrasado"</formula>
    </cfRule>
    <cfRule type="cellIs" dxfId="218" priority="136" operator="equal">
      <formula>"Por Ejecutar"</formula>
    </cfRule>
    <cfRule type="cellIs" dxfId="217" priority="135" operator="equal">
      <formula>"En Proceso"</formula>
    </cfRule>
    <cfRule type="cellIs" dxfId="216" priority="134" operator="equal">
      <formula>"Terminado"</formula>
    </cfRule>
  </conditionalFormatting>
  <conditionalFormatting sqref="I97">
    <cfRule type="cellIs" dxfId="215" priority="139" operator="equal">
      <formula>"En Proceso"</formula>
    </cfRule>
    <cfRule type="cellIs" dxfId="214" priority="137" operator="equal">
      <formula>"Atrasado"</formula>
    </cfRule>
    <cfRule type="cellIs" dxfId="213" priority="140" operator="equal">
      <formula>"Por Ejecutar"</formula>
    </cfRule>
    <cfRule type="cellIs" dxfId="212" priority="138" operator="equal">
      <formula>"Terminado"</formula>
    </cfRule>
  </conditionalFormatting>
  <conditionalFormatting sqref="I99">
    <cfRule type="cellIs" dxfId="211" priority="141" operator="equal">
      <formula>"Atrasado"</formula>
    </cfRule>
    <cfRule type="cellIs" dxfId="210" priority="142" operator="equal">
      <formula>"Terminado"</formula>
    </cfRule>
    <cfRule type="cellIs" dxfId="209" priority="143" operator="equal">
      <formula>"En Proceso"</formula>
    </cfRule>
    <cfRule type="cellIs" dxfId="208" priority="144" operator="equal">
      <formula>"Por Ejecutar"</formula>
    </cfRule>
  </conditionalFormatting>
  <conditionalFormatting sqref="I101">
    <cfRule type="cellIs" dxfId="207" priority="148" operator="equal">
      <formula>"Por Ejecutar"</formula>
    </cfRule>
    <cfRule type="cellIs" dxfId="206" priority="147" operator="equal">
      <formula>"En Proceso"</formula>
    </cfRule>
    <cfRule type="cellIs" dxfId="205" priority="146" operator="equal">
      <formula>"Terminado"</formula>
    </cfRule>
    <cfRule type="cellIs" dxfId="204" priority="145" operator="equal">
      <formula>"Atrasado"</formula>
    </cfRule>
  </conditionalFormatting>
  <conditionalFormatting sqref="I103">
    <cfRule type="cellIs" dxfId="203" priority="967" operator="equal">
      <formula>"En Proceso"</formula>
    </cfRule>
    <cfRule type="cellIs" dxfId="202" priority="966" operator="equal">
      <formula>"Terminado"</formula>
    </cfRule>
    <cfRule type="cellIs" dxfId="201" priority="965" operator="equal">
      <formula>"Atrasado"</formula>
    </cfRule>
    <cfRule type="cellIs" dxfId="200" priority="968" operator="equal">
      <formula>"Por Ejecutar"</formula>
    </cfRule>
  </conditionalFormatting>
  <conditionalFormatting sqref="I105">
    <cfRule type="cellIs" dxfId="199" priority="1134" operator="equal">
      <formula>"Terminado"</formula>
    </cfRule>
    <cfRule type="cellIs" dxfId="198" priority="1133" operator="equal">
      <formula>"Atrasado"</formula>
    </cfRule>
    <cfRule type="cellIs" dxfId="197" priority="1136" operator="equal">
      <formula>"Por Ejecutar"</formula>
    </cfRule>
    <cfRule type="cellIs" dxfId="196" priority="1135" operator="equal">
      <formula>"En Proceso"</formula>
    </cfRule>
  </conditionalFormatting>
  <conditionalFormatting sqref="I107">
    <cfRule type="cellIs" dxfId="195" priority="149" operator="equal">
      <formula>"Atrasado"</formula>
    </cfRule>
    <cfRule type="cellIs" dxfId="194" priority="150" operator="equal">
      <formula>"Terminado"</formula>
    </cfRule>
    <cfRule type="cellIs" dxfId="193" priority="151" operator="equal">
      <formula>"En Proceso"</formula>
    </cfRule>
    <cfRule type="cellIs" dxfId="192" priority="152" operator="equal">
      <formula>"Por Ejecutar"</formula>
    </cfRule>
  </conditionalFormatting>
  <conditionalFormatting sqref="I109">
    <cfRule type="cellIs" dxfId="191" priority="153" operator="equal">
      <formula>"Atrasado"</formula>
    </cfRule>
    <cfRule type="cellIs" dxfId="190" priority="154" operator="equal">
      <formula>"Terminado"</formula>
    </cfRule>
    <cfRule type="cellIs" dxfId="189" priority="155" operator="equal">
      <formula>"En Proceso"</formula>
    </cfRule>
    <cfRule type="cellIs" dxfId="188" priority="156" operator="equal">
      <formula>"Por Ejecutar"</formula>
    </cfRule>
  </conditionalFormatting>
  <conditionalFormatting sqref="I111">
    <cfRule type="cellIs" dxfId="187" priority="1124" operator="equal">
      <formula>"Por Ejecutar"</formula>
    </cfRule>
    <cfRule type="cellIs" dxfId="186" priority="1122" operator="equal">
      <formula>"Terminado"</formula>
    </cfRule>
    <cfRule type="cellIs" dxfId="185" priority="1121" operator="equal">
      <formula>"Atrasado"</formula>
    </cfRule>
    <cfRule type="cellIs" dxfId="184" priority="1123" operator="equal">
      <formula>"En Proceso"</formula>
    </cfRule>
  </conditionalFormatting>
  <conditionalFormatting sqref="I113">
    <cfRule type="cellIs" dxfId="183" priority="1583" operator="equal">
      <formula>"Atrasado"</formula>
    </cfRule>
    <cfRule type="cellIs" dxfId="182" priority="1584" operator="equal">
      <formula>"Terminado"</formula>
    </cfRule>
    <cfRule type="cellIs" dxfId="181" priority="1585" operator="equal">
      <formula>"En Proceso"</formula>
    </cfRule>
    <cfRule type="cellIs" dxfId="180" priority="1586" operator="equal">
      <formula>"Por Ejecutar"</formula>
    </cfRule>
  </conditionalFormatting>
  <conditionalFormatting sqref="I115">
    <cfRule type="cellIs" dxfId="179" priority="1004" operator="equal">
      <formula>"Por Ejecutar"</formula>
    </cfRule>
    <cfRule type="cellIs" dxfId="178" priority="1003" operator="equal">
      <formula>"En Proceso"</formula>
    </cfRule>
    <cfRule type="cellIs" dxfId="177" priority="1002" operator="equal">
      <formula>"Terminado"</formula>
    </cfRule>
    <cfRule type="cellIs" dxfId="176" priority="1001" operator="equal">
      <formula>"Atrasado"</formula>
    </cfRule>
  </conditionalFormatting>
  <conditionalFormatting sqref="I117">
    <cfRule type="cellIs" dxfId="175" priority="164" operator="equal">
      <formula>"Por Ejecutar"</formula>
    </cfRule>
    <cfRule type="cellIs" dxfId="174" priority="163" operator="equal">
      <formula>"En Proceso"</formula>
    </cfRule>
    <cfRule type="cellIs" dxfId="173" priority="162" operator="equal">
      <formula>"Terminado"</formula>
    </cfRule>
    <cfRule type="cellIs" dxfId="172" priority="161" operator="equal">
      <formula>"Atrasado"</formula>
    </cfRule>
  </conditionalFormatting>
  <conditionalFormatting sqref="I119">
    <cfRule type="cellIs" dxfId="171" priority="157" operator="equal">
      <formula>"Atrasado"</formula>
    </cfRule>
    <cfRule type="cellIs" dxfId="170" priority="158" operator="equal">
      <formula>"Terminado"</formula>
    </cfRule>
    <cfRule type="cellIs" dxfId="169" priority="159" operator="equal">
      <formula>"En Proceso"</formula>
    </cfRule>
    <cfRule type="cellIs" dxfId="168" priority="160" operator="equal">
      <formula>"Por Ejecutar"</formula>
    </cfRule>
  </conditionalFormatting>
  <conditionalFormatting sqref="I121">
    <cfRule type="cellIs" dxfId="167" priority="165" operator="equal">
      <formula>"Atrasado"</formula>
    </cfRule>
    <cfRule type="cellIs" dxfId="166" priority="168" operator="equal">
      <formula>"Por Ejecutar"</formula>
    </cfRule>
    <cfRule type="cellIs" dxfId="165" priority="167" operator="equal">
      <formula>"En Proceso"</formula>
    </cfRule>
    <cfRule type="cellIs" dxfId="164" priority="166" operator="equal">
      <formula>"Terminado"</formula>
    </cfRule>
  </conditionalFormatting>
  <conditionalFormatting sqref="I123">
    <cfRule type="cellIs" dxfId="163" priority="170" operator="equal">
      <formula>"Terminado"</formula>
    </cfRule>
    <cfRule type="cellIs" dxfId="162" priority="169" operator="equal">
      <formula>"Atrasado"</formula>
    </cfRule>
    <cfRule type="cellIs" dxfId="161" priority="172" operator="equal">
      <formula>"Por Ejecutar"</formula>
    </cfRule>
    <cfRule type="cellIs" dxfId="160" priority="171" operator="equal">
      <formula>"En Proceso"</formula>
    </cfRule>
  </conditionalFormatting>
  <conditionalFormatting sqref="I125">
    <cfRule type="cellIs" dxfId="159" priority="1146" operator="equal">
      <formula>"Terminado"</formula>
    </cfRule>
    <cfRule type="cellIs" dxfId="158" priority="1145" operator="equal">
      <formula>"Atrasado"</formula>
    </cfRule>
    <cfRule type="cellIs" dxfId="157" priority="1148" operator="equal">
      <formula>"Por Ejecutar"</formula>
    </cfRule>
    <cfRule type="cellIs" dxfId="156" priority="1147" operator="equal">
      <formula>"En Proceso"</formula>
    </cfRule>
  </conditionalFormatting>
  <conditionalFormatting sqref="I127">
    <cfRule type="cellIs" dxfId="155" priority="174" operator="equal">
      <formula>"Terminado"</formula>
    </cfRule>
    <cfRule type="cellIs" dxfId="154" priority="175" operator="equal">
      <formula>"En Proceso"</formula>
    </cfRule>
    <cfRule type="cellIs" dxfId="153" priority="176" operator="equal">
      <formula>"Por Ejecutar"</formula>
    </cfRule>
    <cfRule type="cellIs" dxfId="152" priority="173" operator="equal">
      <formula>"Atrasado"</formula>
    </cfRule>
  </conditionalFormatting>
  <conditionalFormatting sqref="I129">
    <cfRule type="cellIs" dxfId="151" priority="1106" operator="equal">
      <formula>"Por Ejecutar"</formula>
    </cfRule>
    <cfRule type="cellIs" dxfId="150" priority="1103" operator="equal">
      <formula>"Atrasado"</formula>
    </cfRule>
    <cfRule type="cellIs" dxfId="149" priority="1104" operator="equal">
      <formula>"Terminado"</formula>
    </cfRule>
    <cfRule type="cellIs" dxfId="148" priority="1105" operator="equal">
      <formula>"En Proceso"</formula>
    </cfRule>
  </conditionalFormatting>
  <conditionalFormatting sqref="I131">
    <cfRule type="cellIs" dxfId="147" priority="188" operator="equal">
      <formula>"Por Ejecutar"</formula>
    </cfRule>
    <cfRule type="cellIs" dxfId="146" priority="187" operator="equal">
      <formula>"En Proceso"</formula>
    </cfRule>
    <cfRule type="cellIs" dxfId="145" priority="185" operator="equal">
      <formula>"Atrasado"</formula>
    </cfRule>
    <cfRule type="cellIs" dxfId="144" priority="186" operator="equal">
      <formula>"Terminado"</formula>
    </cfRule>
  </conditionalFormatting>
  <conditionalFormatting sqref="I133">
    <cfRule type="cellIs" dxfId="143" priority="181" operator="equal">
      <formula>"Atrasado"</formula>
    </cfRule>
    <cfRule type="cellIs" dxfId="142" priority="182" operator="equal">
      <formula>"Terminado"</formula>
    </cfRule>
    <cfRule type="cellIs" dxfId="141" priority="183" operator="equal">
      <formula>"En Proceso"</formula>
    </cfRule>
    <cfRule type="cellIs" dxfId="140" priority="184" operator="equal">
      <formula>"Por Ejecutar"</formula>
    </cfRule>
  </conditionalFormatting>
  <conditionalFormatting sqref="I135">
    <cfRule type="cellIs" dxfId="139" priority="177" operator="equal">
      <formula>"Atrasado"</formula>
    </cfRule>
    <cfRule type="cellIs" dxfId="138" priority="179" operator="equal">
      <formula>"En Proceso"</formula>
    </cfRule>
    <cfRule type="cellIs" dxfId="137" priority="180" operator="equal">
      <formula>"Por Ejecutar"</formula>
    </cfRule>
    <cfRule type="cellIs" dxfId="136" priority="178" operator="equal">
      <formula>"Terminado"</formula>
    </cfRule>
  </conditionalFormatting>
  <conditionalFormatting sqref="I137">
    <cfRule type="cellIs" dxfId="135" priority="2144" operator="equal">
      <formula>"Por Ejecutar"</formula>
    </cfRule>
    <cfRule type="cellIs" dxfId="134" priority="2141" operator="equal">
      <formula>"Atrasado"</formula>
    </cfRule>
    <cfRule type="cellIs" dxfId="133" priority="2142" operator="equal">
      <formula>"Terminado"</formula>
    </cfRule>
    <cfRule type="cellIs" dxfId="132" priority="2143" operator="equal">
      <formula>"En Proceso"</formula>
    </cfRule>
  </conditionalFormatting>
  <conditionalFormatting sqref="I139">
    <cfRule type="cellIs" dxfId="131" priority="2154" operator="equal">
      <formula>"Terminado"</formula>
    </cfRule>
    <cfRule type="cellIs" dxfId="130" priority="2155" operator="equal">
      <formula>"En Proceso"</formula>
    </cfRule>
    <cfRule type="cellIs" dxfId="129" priority="2156" operator="equal">
      <formula>"Por Ejecutar"</formula>
    </cfRule>
    <cfRule type="cellIs" dxfId="128" priority="2153" operator="equal">
      <formula>"Atrasado"</formula>
    </cfRule>
  </conditionalFormatting>
  <conditionalFormatting sqref="I141">
    <cfRule type="cellIs" dxfId="127" priority="1116" operator="equal">
      <formula>"Terminado"</formula>
    </cfRule>
    <cfRule type="cellIs" dxfId="126" priority="1115" operator="equal">
      <formula>"Atrasado"</formula>
    </cfRule>
    <cfRule type="cellIs" dxfId="125" priority="1117" operator="equal">
      <formula>"En Proceso"</formula>
    </cfRule>
    <cfRule type="cellIs" dxfId="124" priority="1118" operator="equal">
      <formula>"Por Ejecutar"</formula>
    </cfRule>
  </conditionalFormatting>
  <conditionalFormatting sqref="I143">
    <cfRule type="cellIs" dxfId="123" priority="192" operator="equal">
      <formula>"Por Ejecutar"</formula>
    </cfRule>
    <cfRule type="cellIs" dxfId="122" priority="189" operator="equal">
      <formula>"Atrasado"</formula>
    </cfRule>
    <cfRule type="cellIs" dxfId="121" priority="190" operator="equal">
      <formula>"Terminado"</formula>
    </cfRule>
    <cfRule type="cellIs" dxfId="120" priority="191" operator="equal">
      <formula>"En Proceso"</formula>
    </cfRule>
  </conditionalFormatting>
  <conditionalFormatting sqref="I145">
    <cfRule type="cellIs" dxfId="119" priority="1664" operator="equal">
      <formula>"Por Ejecutar"</formula>
    </cfRule>
    <cfRule type="cellIs" dxfId="118" priority="1663" operator="equal">
      <formula>"En Proceso"</formula>
    </cfRule>
    <cfRule type="cellIs" dxfId="117" priority="1662" operator="equal">
      <formula>"Terminado"</formula>
    </cfRule>
    <cfRule type="cellIs" dxfId="116" priority="1661" operator="equal">
      <formula>"Atrasado"</formula>
    </cfRule>
  </conditionalFormatting>
  <conditionalFormatting sqref="I147">
    <cfRule type="cellIs" dxfId="115" priority="1675" operator="equal">
      <formula>"En Proceso"</formula>
    </cfRule>
    <cfRule type="cellIs" dxfId="114" priority="1674" operator="equal">
      <formula>"Terminado"</formula>
    </cfRule>
    <cfRule type="cellIs" dxfId="113" priority="1673" operator="equal">
      <formula>"Atrasado"</formula>
    </cfRule>
    <cfRule type="cellIs" dxfId="112" priority="1676" operator="equal">
      <formula>"Por Ejecutar"</formula>
    </cfRule>
  </conditionalFormatting>
  <conditionalFormatting sqref="I149">
    <cfRule type="cellIs" dxfId="111" priority="1692" operator="equal">
      <formula>"Terminado"</formula>
    </cfRule>
    <cfRule type="cellIs" dxfId="110" priority="1693" operator="equal">
      <formula>"En Proceso"</formula>
    </cfRule>
    <cfRule type="cellIs" dxfId="109" priority="1694" operator="equal">
      <formula>"Por Ejecutar"</formula>
    </cfRule>
    <cfRule type="cellIs" dxfId="108" priority="1691" operator="equal">
      <formula>"Atrasado"</formula>
    </cfRule>
  </conditionalFormatting>
  <conditionalFormatting sqref="I151">
    <cfRule type="cellIs" dxfId="107" priority="1705" operator="equal">
      <formula>"En Proceso"</formula>
    </cfRule>
    <cfRule type="cellIs" dxfId="106" priority="1703" operator="equal">
      <formula>"Atrasado"</formula>
    </cfRule>
    <cfRule type="cellIs" dxfId="105" priority="1704" operator="equal">
      <formula>"Terminado"</formula>
    </cfRule>
    <cfRule type="cellIs" dxfId="104" priority="1706" operator="equal">
      <formula>"Por Ejecutar"</formula>
    </cfRule>
  </conditionalFormatting>
  <conditionalFormatting sqref="I153">
    <cfRule type="cellIs" dxfId="103" priority="197" operator="equal">
      <formula>"Atrasado"</formula>
    </cfRule>
    <cfRule type="cellIs" dxfId="102" priority="198" operator="equal">
      <formula>"Terminado"</formula>
    </cfRule>
    <cfRule type="cellIs" dxfId="101" priority="199" operator="equal">
      <formula>"En Proceso"</formula>
    </cfRule>
    <cfRule type="cellIs" dxfId="100" priority="200" operator="equal">
      <formula>"Por Ejecutar"</formula>
    </cfRule>
  </conditionalFormatting>
  <conditionalFormatting sqref="I155">
    <cfRule type="cellIs" dxfId="99" priority="193" operator="equal">
      <formula>"Atrasado"</formula>
    </cfRule>
    <cfRule type="cellIs" dxfId="98" priority="194" operator="equal">
      <formula>"Terminado"</formula>
    </cfRule>
    <cfRule type="cellIs" dxfId="97" priority="195" operator="equal">
      <formula>"En Proceso"</formula>
    </cfRule>
    <cfRule type="cellIs" dxfId="96" priority="196" operator="equal">
      <formula>"Por Ejecutar"</formula>
    </cfRule>
  </conditionalFormatting>
  <conditionalFormatting sqref="I157">
    <cfRule type="cellIs" dxfId="95" priority="1697" operator="equal">
      <formula>"Atrasado"</formula>
    </cfRule>
    <cfRule type="cellIs" dxfId="94" priority="1698" operator="equal">
      <formula>"Terminado"</formula>
    </cfRule>
    <cfRule type="cellIs" dxfId="93" priority="1699" operator="equal">
      <formula>"En Proceso"</formula>
    </cfRule>
    <cfRule type="cellIs" dxfId="92" priority="1700" operator="equal">
      <formula>"Por Ejecutar"</formula>
    </cfRule>
  </conditionalFormatting>
  <conditionalFormatting sqref="I159">
    <cfRule type="cellIs" dxfId="91" priority="1757" operator="equal">
      <formula>"Atrasado"</formula>
    </cfRule>
    <cfRule type="cellIs" dxfId="90" priority="1758" operator="equal">
      <formula>"Terminado"</formula>
    </cfRule>
    <cfRule type="cellIs" dxfId="89" priority="1759" operator="equal">
      <formula>"En Proceso"</formula>
    </cfRule>
    <cfRule type="cellIs" dxfId="88" priority="1760" operator="equal">
      <formula>"Por Ejecutar"</formula>
    </cfRule>
  </conditionalFormatting>
  <conditionalFormatting sqref="I161">
    <cfRule type="cellIs" dxfId="87" priority="1763" operator="equal">
      <formula>"Atrasado"</formula>
    </cfRule>
    <cfRule type="cellIs" dxfId="86" priority="1766" operator="equal">
      <formula>"Por Ejecutar"</formula>
    </cfRule>
    <cfRule type="cellIs" dxfId="85" priority="1765" operator="equal">
      <formula>"En Proceso"</formula>
    </cfRule>
    <cfRule type="cellIs" dxfId="84" priority="1764" operator="equal">
      <formula>"Terminado"</formula>
    </cfRule>
  </conditionalFormatting>
  <conditionalFormatting sqref="I163">
    <cfRule type="cellIs" dxfId="83" priority="1745" operator="equal">
      <formula>"Atrasado"</formula>
    </cfRule>
    <cfRule type="cellIs" dxfId="82" priority="1746" operator="equal">
      <formula>"Terminado"</formula>
    </cfRule>
    <cfRule type="cellIs" dxfId="81" priority="1747" operator="equal">
      <formula>"En Proceso"</formula>
    </cfRule>
    <cfRule type="cellIs" dxfId="80" priority="1748" operator="equal">
      <formula>"Por Ejecutar"</formula>
    </cfRule>
  </conditionalFormatting>
  <conditionalFormatting sqref="I165">
    <cfRule type="cellIs" dxfId="79" priority="1787" operator="equal">
      <formula>"Atrasado"</formula>
    </cfRule>
    <cfRule type="cellIs" dxfId="78" priority="1788" operator="equal">
      <formula>"Terminado"</formula>
    </cfRule>
    <cfRule type="cellIs" dxfId="77" priority="1789" operator="equal">
      <formula>"En Proceso"</formula>
    </cfRule>
    <cfRule type="cellIs" dxfId="76" priority="1790" operator="equal">
      <formula>"Por Ejecutar"</formula>
    </cfRule>
  </conditionalFormatting>
  <conditionalFormatting sqref="I167">
    <cfRule type="cellIs" dxfId="75" priority="1799" operator="equal">
      <formula>"Atrasado"</formula>
    </cfRule>
    <cfRule type="cellIs" dxfId="74" priority="1800" operator="equal">
      <formula>"Terminado"</formula>
    </cfRule>
    <cfRule type="cellIs" dxfId="73" priority="1801" operator="equal">
      <formula>"En Proceso"</formula>
    </cfRule>
    <cfRule type="cellIs" dxfId="72" priority="1802" operator="equal">
      <formula>"Por Ejecutar"</formula>
    </cfRule>
  </conditionalFormatting>
  <conditionalFormatting sqref="I169">
    <cfRule type="cellIs" dxfId="71" priority="3" operator="equal">
      <formula>"En Proceso"</formula>
    </cfRule>
    <cfRule type="cellIs" dxfId="70" priority="2" operator="equal">
      <formula>"Terminado"</formula>
    </cfRule>
    <cfRule type="cellIs" dxfId="69" priority="1" operator="equal">
      <formula>"Atrasado"</formula>
    </cfRule>
    <cfRule type="cellIs" dxfId="68" priority="4" operator="equal">
      <formula>"Por Ejecutar"</formula>
    </cfRule>
  </conditionalFormatting>
  <conditionalFormatting sqref="I171">
    <cfRule type="cellIs" dxfId="67" priority="1783" operator="equal">
      <formula>"En Proceso"</formula>
    </cfRule>
    <cfRule type="cellIs" dxfId="66" priority="1784" operator="equal">
      <formula>"Por Ejecutar"</formula>
    </cfRule>
    <cfRule type="cellIs" dxfId="65" priority="1782" operator="equal">
      <formula>"Terminado"</formula>
    </cfRule>
    <cfRule type="cellIs" dxfId="64" priority="1781" operator="equal">
      <formula>"Atrasado"</formula>
    </cfRule>
  </conditionalFormatting>
  <conditionalFormatting sqref="I173">
    <cfRule type="cellIs" dxfId="63" priority="901" operator="equal">
      <formula>"En Proceso"</formula>
    </cfRule>
    <cfRule type="cellIs" dxfId="62" priority="902" operator="equal">
      <formula>"Por Ejecutar"</formula>
    </cfRule>
    <cfRule type="cellIs" dxfId="61" priority="899" operator="equal">
      <formula>"Atrasado"</formula>
    </cfRule>
    <cfRule type="cellIs" dxfId="60" priority="900" operator="equal">
      <formula>"Terminado"</formula>
    </cfRule>
  </conditionalFormatting>
  <conditionalFormatting sqref="I175">
    <cfRule type="cellIs" dxfId="59" priority="977" operator="equal">
      <formula>"Atrasado"</formula>
    </cfRule>
    <cfRule type="cellIs" dxfId="58" priority="978" operator="equal">
      <formula>"Terminado"</formula>
    </cfRule>
    <cfRule type="cellIs" dxfId="57" priority="979" operator="equal">
      <formula>"En Proceso"</formula>
    </cfRule>
    <cfRule type="cellIs" dxfId="56" priority="980" operator="equal">
      <formula>"Por Ejecutar"</formula>
    </cfRule>
  </conditionalFormatting>
  <conditionalFormatting sqref="I177">
    <cfRule type="cellIs" dxfId="55" priority="972" operator="equal">
      <formula>"Terminado"</formula>
    </cfRule>
    <cfRule type="cellIs" dxfId="54" priority="973" operator="equal">
      <formula>"En Proceso"</formula>
    </cfRule>
    <cfRule type="cellIs" dxfId="53" priority="974" operator="equal">
      <formula>"Por Ejecutar"</formula>
    </cfRule>
    <cfRule type="cellIs" dxfId="52" priority="971" operator="equal">
      <formula>"Atrasado"</formula>
    </cfRule>
  </conditionalFormatting>
  <conditionalFormatting sqref="I179">
    <cfRule type="cellIs" dxfId="51" priority="3004" operator="equal">
      <formula>"Por Ejecutar"</formula>
    </cfRule>
    <cfRule type="cellIs" dxfId="50" priority="3001" operator="equal">
      <formula>"Atrasado"</formula>
    </cfRule>
    <cfRule type="cellIs" dxfId="49" priority="3002" operator="equal">
      <formula>"Terminado"</formula>
    </cfRule>
    <cfRule type="cellIs" dxfId="48" priority="3003" operator="equal">
      <formula>"En Proceso"</formula>
    </cfRule>
  </conditionalFormatting>
  <conditionalFormatting sqref="L29:BK178">
    <cfRule type="cellIs" dxfId="47" priority="261" operator="equal">
      <formula>2</formula>
    </cfRule>
    <cfRule type="cellIs" dxfId="46" priority="262" operator="equal">
      <formula>1</formula>
    </cfRule>
  </conditionalFormatting>
  <conditionalFormatting sqref="BM30 BM32 BM94:BM102 BM104 BM106:BM110 BM112:BM178">
    <cfRule type="cellIs" dxfId="45" priority="2964" operator="between">
      <formula>0.05</formula>
      <formula>0.99</formula>
    </cfRule>
    <cfRule type="cellIs" dxfId="44" priority="2963" operator="equal">
      <formula>1</formula>
    </cfRule>
  </conditionalFormatting>
  <conditionalFormatting sqref="BM34">
    <cfRule type="cellIs" dxfId="43" priority="68" operator="between">
      <formula>0.05</formula>
      <formula>0.99</formula>
    </cfRule>
    <cfRule type="cellIs" dxfId="42" priority="67" operator="equal">
      <formula>1</formula>
    </cfRule>
  </conditionalFormatting>
  <conditionalFormatting sqref="BM36">
    <cfRule type="cellIs" dxfId="41" priority="65" operator="equal">
      <formula>1</formula>
    </cfRule>
    <cfRule type="cellIs" dxfId="40" priority="66" operator="between">
      <formula>0.05</formula>
      <formula>0.99</formula>
    </cfRule>
  </conditionalFormatting>
  <conditionalFormatting sqref="BM38">
    <cfRule type="cellIs" dxfId="39" priority="63" operator="equal">
      <formula>1</formula>
    </cfRule>
    <cfRule type="cellIs" dxfId="38" priority="64" operator="between">
      <formula>0.05</formula>
      <formula>0.99</formula>
    </cfRule>
  </conditionalFormatting>
  <conditionalFormatting sqref="BM40">
    <cfRule type="cellIs" dxfId="37" priority="62" operator="between">
      <formula>0.05</formula>
      <formula>0.99</formula>
    </cfRule>
    <cfRule type="cellIs" dxfId="36" priority="61" operator="equal">
      <formula>1</formula>
    </cfRule>
  </conditionalFormatting>
  <conditionalFormatting sqref="BM42">
    <cfRule type="cellIs" dxfId="35" priority="60" operator="between">
      <formula>0.05</formula>
      <formula>0.99</formula>
    </cfRule>
    <cfRule type="cellIs" dxfId="34" priority="59" operator="equal">
      <formula>1</formula>
    </cfRule>
  </conditionalFormatting>
  <conditionalFormatting sqref="BM44">
    <cfRule type="cellIs" dxfId="33" priority="58" operator="between">
      <formula>0.05</formula>
      <formula>0.99</formula>
    </cfRule>
    <cfRule type="cellIs" dxfId="32" priority="57" operator="equal">
      <formula>1</formula>
    </cfRule>
  </conditionalFormatting>
  <conditionalFormatting sqref="BM46">
    <cfRule type="cellIs" dxfId="31" priority="55" operator="equal">
      <formula>1</formula>
    </cfRule>
    <cfRule type="cellIs" dxfId="30" priority="56" operator="between">
      <formula>0.05</formula>
      <formula>0.99</formula>
    </cfRule>
  </conditionalFormatting>
  <conditionalFormatting sqref="BM48">
    <cfRule type="cellIs" dxfId="29" priority="53" operator="equal">
      <formula>1</formula>
    </cfRule>
    <cfRule type="cellIs" dxfId="28" priority="54" operator="between">
      <formula>0.05</formula>
      <formula>0.99</formula>
    </cfRule>
  </conditionalFormatting>
  <conditionalFormatting sqref="BM50">
    <cfRule type="cellIs" dxfId="27" priority="52" operator="between">
      <formula>0.05</formula>
      <formula>0.99</formula>
    </cfRule>
    <cfRule type="cellIs" dxfId="26" priority="51" operator="equal">
      <formula>1</formula>
    </cfRule>
  </conditionalFormatting>
  <conditionalFormatting sqref="BM52">
    <cfRule type="cellIs" dxfId="25" priority="50" operator="between">
      <formula>0.05</formula>
      <formula>0.99</formula>
    </cfRule>
    <cfRule type="cellIs" dxfId="24" priority="49" operator="equal">
      <formula>1</formula>
    </cfRule>
  </conditionalFormatting>
  <conditionalFormatting sqref="BM54">
    <cfRule type="cellIs" dxfId="23" priority="47" operator="equal">
      <formula>1</formula>
    </cfRule>
    <cfRule type="cellIs" dxfId="22" priority="48" operator="between">
      <formula>0.05</formula>
      <formula>0.99</formula>
    </cfRule>
  </conditionalFormatting>
  <conditionalFormatting sqref="BM56">
    <cfRule type="cellIs" dxfId="21" priority="45" operator="equal">
      <formula>1</formula>
    </cfRule>
    <cfRule type="cellIs" dxfId="20" priority="46" operator="between">
      <formula>0.05</formula>
      <formula>0.99</formula>
    </cfRule>
  </conditionalFormatting>
  <conditionalFormatting sqref="BM58">
    <cfRule type="cellIs" dxfId="19" priority="44" operator="between">
      <formula>0.05</formula>
      <formula>0.99</formula>
    </cfRule>
    <cfRule type="cellIs" dxfId="18" priority="43" operator="equal">
      <formula>1</formula>
    </cfRule>
  </conditionalFormatting>
  <conditionalFormatting sqref="BM60">
    <cfRule type="cellIs" dxfId="17" priority="42" operator="between">
      <formula>0.05</formula>
      <formula>0.99</formula>
    </cfRule>
    <cfRule type="cellIs" dxfId="16" priority="41" operator="equal">
      <formula>1</formula>
    </cfRule>
  </conditionalFormatting>
  <conditionalFormatting sqref="BM62">
    <cfRule type="cellIs" dxfId="15" priority="39" operator="equal">
      <formula>1</formula>
    </cfRule>
    <cfRule type="cellIs" dxfId="14" priority="40" operator="between">
      <formula>0.05</formula>
      <formula>0.99</formula>
    </cfRule>
  </conditionalFormatting>
  <conditionalFormatting sqref="BM64">
    <cfRule type="cellIs" dxfId="13" priority="18" operator="between">
      <formula>0.05</formula>
      <formula>0.99</formula>
    </cfRule>
    <cfRule type="cellIs" dxfId="12" priority="17" operator="equal">
      <formula>1</formula>
    </cfRule>
  </conditionalFormatting>
  <conditionalFormatting sqref="BM66">
    <cfRule type="cellIs" dxfId="11" priority="16" operator="between">
      <formula>0.05</formula>
      <formula>0.99</formula>
    </cfRule>
    <cfRule type="cellIs" dxfId="10" priority="15" operator="equal">
      <formula>1</formula>
    </cfRule>
  </conditionalFormatting>
  <conditionalFormatting sqref="BM68">
    <cfRule type="cellIs" dxfId="9" priority="13" operator="equal">
      <formula>1</formula>
    </cfRule>
    <cfRule type="cellIs" dxfId="8" priority="14" operator="between">
      <formula>0.05</formula>
      <formula>0.99</formula>
    </cfRule>
  </conditionalFormatting>
  <conditionalFormatting sqref="BM70">
    <cfRule type="cellIs" dxfId="7" priority="11" operator="equal">
      <formula>1</formula>
    </cfRule>
    <cfRule type="cellIs" dxfId="6" priority="12" operator="between">
      <formula>0.05</formula>
      <formula>0.99</formula>
    </cfRule>
  </conditionalFormatting>
  <conditionalFormatting sqref="BM72">
    <cfRule type="cellIs" dxfId="5" priority="9" operator="equal">
      <formula>1</formula>
    </cfRule>
    <cfRule type="cellIs" dxfId="4" priority="10" operator="between">
      <formula>0.05</formula>
      <formula>0.99</formula>
    </cfRule>
  </conditionalFormatting>
  <conditionalFormatting sqref="BM74">
    <cfRule type="cellIs" dxfId="3" priority="8" operator="between">
      <formula>0.05</formula>
      <formula>0.99</formula>
    </cfRule>
    <cfRule type="cellIs" dxfId="2" priority="7" operator="equal">
      <formula>1</formula>
    </cfRule>
  </conditionalFormatting>
  <conditionalFormatting sqref="BM76:BM92">
    <cfRule type="cellIs" dxfId="1" priority="6" operator="between">
      <formula>0.05</formula>
      <formula>0.99</formula>
    </cfRule>
    <cfRule type="cellIs" dxfId="0" priority="5" operator="equal">
      <formula>1</formula>
    </cfRule>
  </conditionalFormatting>
  <dataValidations count="3">
    <dataValidation type="list" allowBlank="1" showInputMessage="1" showErrorMessage="1" sqref="H69 H29:H67 H71:H178" xr:uid="{C9D31557-E577-430A-BB21-20F876CF5B79}">
      <formula1>"Interna, Externa"</formula1>
    </dataValidation>
    <dataValidation type="list" allowBlank="1" showInputMessage="1" showErrorMessage="1" sqref="G91 G69 G89 G29:G67 G87 G93 G95 G97 G99 G101 G103:G107 G109 G111:G117 G119 G71:G85 G129:G131 G133 G135 G121:G127 G137:G178" xr:uid="{7B2117E4-A3DE-494A-A8FE-D3CD7E4E225F}">
      <formula1>"Inducción, Capacitación, Simulacro, Entrenamiento, Difusión"</formula1>
    </dataValidation>
    <dataValidation type="list" allowBlank="1" showInputMessage="1" showErrorMessage="1" sqref="E29:E178" xr:uid="{52844C0B-E917-4CD1-97DA-DD1D1C71E0D6}">
      <formula1>"Social, Gobernanza, Medio Ambiente"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22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5C2D-35C1-4C8C-ADB0-0E89B2878F23}">
  <dimension ref="B1:C30"/>
  <sheetViews>
    <sheetView view="pageBreakPreview" topLeftCell="A8" zoomScaleNormal="100" zoomScaleSheetLayoutView="100" workbookViewId="0">
      <selection activeCell="B13" sqref="B13"/>
    </sheetView>
  </sheetViews>
  <sheetFormatPr baseColWidth="10" defaultRowHeight="15" x14ac:dyDescent="0.25"/>
  <cols>
    <col min="1" max="1" width="1.7109375" customWidth="1"/>
    <col min="2" max="2" width="60.5703125" customWidth="1"/>
    <col min="3" max="3" width="62.42578125" customWidth="1"/>
  </cols>
  <sheetData>
    <row r="1" spans="2:3" ht="4.5" customHeight="1" x14ac:dyDescent="0.25"/>
    <row r="2" spans="2:3" ht="21" customHeight="1" x14ac:dyDescent="0.25">
      <c r="B2" s="68" t="s">
        <v>85</v>
      </c>
      <c r="C2" s="63" t="s">
        <v>163</v>
      </c>
    </row>
    <row r="3" spans="2:3" ht="273.75" x14ac:dyDescent="0.25">
      <c r="B3" s="69" t="s">
        <v>166</v>
      </c>
      <c r="C3" s="51" t="s">
        <v>167</v>
      </c>
    </row>
    <row r="4" spans="2:3" ht="100.5" customHeight="1" x14ac:dyDescent="0.25">
      <c r="B4" s="69" t="s">
        <v>102</v>
      </c>
      <c r="C4" s="51" t="s">
        <v>171</v>
      </c>
    </row>
    <row r="5" spans="2:3" ht="87" customHeight="1" x14ac:dyDescent="0.25">
      <c r="B5" s="69" t="s">
        <v>103</v>
      </c>
      <c r="C5" s="64" t="s">
        <v>200</v>
      </c>
    </row>
    <row r="6" spans="2:3" ht="41.25" customHeight="1" x14ac:dyDescent="0.25">
      <c r="B6" s="69" t="s">
        <v>146</v>
      </c>
      <c r="C6" s="64" t="s">
        <v>248</v>
      </c>
    </row>
    <row r="7" spans="2:3" ht="41.25" customHeight="1" x14ac:dyDescent="0.25">
      <c r="B7" s="69" t="s">
        <v>216</v>
      </c>
      <c r="C7" s="64" t="s">
        <v>217</v>
      </c>
    </row>
    <row r="8" spans="2:3" ht="56.25" customHeight="1" x14ac:dyDescent="0.25">
      <c r="B8" s="69" t="s">
        <v>183</v>
      </c>
      <c r="C8" s="64" t="s">
        <v>175</v>
      </c>
    </row>
    <row r="9" spans="2:3" ht="51" customHeight="1" x14ac:dyDescent="0.25">
      <c r="B9" s="69" t="s">
        <v>176</v>
      </c>
      <c r="C9" s="64" t="s">
        <v>177</v>
      </c>
    </row>
    <row r="10" spans="2:3" ht="32.25" customHeight="1" x14ac:dyDescent="0.25">
      <c r="B10" s="69" t="s">
        <v>178</v>
      </c>
      <c r="C10" s="51"/>
    </row>
    <row r="11" spans="2:3" ht="32.25" customHeight="1" x14ac:dyDescent="0.25">
      <c r="B11" s="69" t="s">
        <v>196</v>
      </c>
      <c r="C11" s="51"/>
    </row>
    <row r="12" spans="2:3" ht="32.25" customHeight="1" x14ac:dyDescent="0.25">
      <c r="B12" s="69" t="s">
        <v>247</v>
      </c>
      <c r="C12" s="51"/>
    </row>
    <row r="13" spans="2:3" ht="32.25" customHeight="1" x14ac:dyDescent="0.25">
      <c r="B13" s="69" t="s">
        <v>181</v>
      </c>
      <c r="C13" s="64" t="s">
        <v>180</v>
      </c>
    </row>
    <row r="14" spans="2:3" ht="32.25" customHeight="1" x14ac:dyDescent="0.25">
      <c r="B14" s="70" t="s">
        <v>94</v>
      </c>
      <c r="C14" s="51"/>
    </row>
    <row r="15" spans="2:3" ht="54" customHeight="1" x14ac:dyDescent="0.25">
      <c r="B15" s="69" t="s">
        <v>195</v>
      </c>
      <c r="C15" s="64" t="s">
        <v>200</v>
      </c>
    </row>
    <row r="16" spans="2:3" ht="32.25" customHeight="1" x14ac:dyDescent="0.25">
      <c r="B16" s="69" t="s">
        <v>184</v>
      </c>
      <c r="C16" s="64" t="s">
        <v>246</v>
      </c>
    </row>
    <row r="17" spans="2:3" ht="32.25" customHeight="1" x14ac:dyDescent="0.25">
      <c r="B17" s="69" t="s">
        <v>185</v>
      </c>
      <c r="C17" s="51"/>
    </row>
    <row r="18" spans="2:3" ht="32.25" customHeight="1" x14ac:dyDescent="0.25">
      <c r="B18" s="69" t="s">
        <v>186</v>
      </c>
      <c r="C18" s="64" t="s">
        <v>199</v>
      </c>
    </row>
    <row r="19" spans="2:3" ht="32.25" customHeight="1" x14ac:dyDescent="0.25">
      <c r="B19" s="69" t="s">
        <v>187</v>
      </c>
      <c r="C19" s="51"/>
    </row>
    <row r="20" spans="2:3" ht="97.5" customHeight="1" x14ac:dyDescent="0.25">
      <c r="B20" s="69" t="s">
        <v>164</v>
      </c>
      <c r="C20" s="51" t="s">
        <v>205</v>
      </c>
    </row>
    <row r="21" spans="2:3" ht="32.25" customHeight="1" x14ac:dyDescent="0.25">
      <c r="B21" s="69" t="s">
        <v>188</v>
      </c>
      <c r="C21" s="64" t="s">
        <v>189</v>
      </c>
    </row>
    <row r="22" spans="2:3" ht="32.25" customHeight="1" x14ac:dyDescent="0.25">
      <c r="B22" s="69" t="s">
        <v>190</v>
      </c>
      <c r="C22" s="64" t="s">
        <v>191</v>
      </c>
    </row>
    <row r="23" spans="2:3" ht="32.25" customHeight="1" x14ac:dyDescent="0.25">
      <c r="B23" s="69" t="s">
        <v>192</v>
      </c>
      <c r="C23" s="64" t="s">
        <v>198</v>
      </c>
    </row>
    <row r="24" spans="2:3" ht="32.25" customHeight="1" x14ac:dyDescent="0.25">
      <c r="B24" s="70" t="s">
        <v>83</v>
      </c>
      <c r="C24" s="51"/>
    </row>
    <row r="25" spans="2:3" ht="32.25" customHeight="1" x14ac:dyDescent="0.25">
      <c r="B25" s="70" t="s">
        <v>80</v>
      </c>
      <c r="C25" s="51"/>
    </row>
    <row r="26" spans="2:3" ht="32.25" customHeight="1" x14ac:dyDescent="0.25">
      <c r="B26" s="69" t="s">
        <v>182</v>
      </c>
      <c r="C26" s="51"/>
    </row>
    <row r="27" spans="2:3" ht="32.25" customHeight="1" x14ac:dyDescent="0.25">
      <c r="B27" s="70" t="s">
        <v>93</v>
      </c>
      <c r="C27" s="51"/>
    </row>
    <row r="28" spans="2:3" ht="32.25" customHeight="1" x14ac:dyDescent="0.25">
      <c r="B28" s="69" t="s">
        <v>193</v>
      </c>
      <c r="C28" s="51"/>
    </row>
    <row r="29" spans="2:3" ht="32.25" customHeight="1" x14ac:dyDescent="0.25">
      <c r="B29" s="69" t="s">
        <v>194</v>
      </c>
      <c r="C29" s="51"/>
    </row>
    <row r="30" spans="2:3" ht="64.5" customHeight="1" x14ac:dyDescent="0.25">
      <c r="B30" s="71" t="s">
        <v>99</v>
      </c>
      <c r="C30" s="65" t="s">
        <v>210</v>
      </c>
    </row>
  </sheetData>
  <autoFilter ref="B2:B25" xr:uid="{F7219E2F-A571-4AA3-8551-79C017F616CB}">
    <sortState xmlns:xlrd2="http://schemas.microsoft.com/office/spreadsheetml/2017/richdata2" ref="B3:B25">
      <sortCondition ref="B2:B25"/>
    </sortState>
  </autoFilter>
  <pageMargins left="0.7" right="0.7" top="0.75" bottom="0.75" header="0.3" footer="0.3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Template</vt:lpstr>
      <vt:lpstr>Módulos</vt:lpstr>
      <vt:lpstr>Módulos!Área_de_impresión</vt:lpstr>
      <vt:lpstr>Template!Área_de_impresión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Cancán</dc:creator>
  <cp:lastModifiedBy>VI47688076 (Chozo Valdera, Elvis Alberto)</cp:lastModifiedBy>
  <cp:lastPrinted>2023-01-27T18:12:47Z</cp:lastPrinted>
  <dcterms:created xsi:type="dcterms:W3CDTF">2018-11-20T19:45:37Z</dcterms:created>
  <dcterms:modified xsi:type="dcterms:W3CDTF">2025-12-22T22:38:25Z</dcterms:modified>
</cp:coreProperties>
</file>